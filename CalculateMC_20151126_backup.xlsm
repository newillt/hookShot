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DailyPlayers" sheetId="3" r:id="rId2"/>
    <sheet name="Sheet2" sheetId="2" r:id="rId3"/>
    <sheet name="ProbabilityDensity" sheetId="5" r:id="rId4"/>
  </sheets>
  <definedNames>
    <definedName name="ExternalData_1" localSheetId="1">DailyPlayers!$A$1:$L$194</definedName>
    <definedName name="ExternalData_1" localSheetId="0">Sheet1!#REF!</definedName>
    <definedName name="ExternalData_10" localSheetId="1">DailyPlayers!$A$1:$L$165</definedName>
    <definedName name="ExternalData_11" localSheetId="1">DailyPlayers!$A$1:$L$332</definedName>
    <definedName name="ExternalData_2" localSheetId="1">DailyPlayers!$A$1:$L$194</definedName>
    <definedName name="ExternalData_3" localSheetId="1">DailyPlayers!$A$1:$L$165</definedName>
    <definedName name="ExternalData_4" localSheetId="1">DailyPlayers!$A$1:$L$165</definedName>
    <definedName name="ExternalData_5" localSheetId="1">DailyPlayers!$A$1:$L$194</definedName>
    <definedName name="ExternalData_6" localSheetId="1">DailyPlayers!$A$1:$L$194</definedName>
    <definedName name="ExternalData_7" localSheetId="1">DailyPlayers!$A$1:$L$165</definedName>
    <definedName name="ExternalData_8" localSheetId="1">DailyPlayers!$A$1:$L$194</definedName>
    <definedName name="ExternalData_9" localSheetId="1">DailyPlayers!$A$1:$L$194</definedName>
  </definedNames>
  <calcPr calcId="152511"/>
</workbook>
</file>

<file path=xl/calcChain.xml><?xml version="1.0" encoding="utf-8"?>
<calcChain xmlns="http://schemas.openxmlformats.org/spreadsheetml/2006/main">
  <c r="C13" i="1" l="1"/>
  <c r="C12" i="1"/>
  <c r="C9" i="1"/>
  <c r="C8" i="1"/>
  <c r="C6" i="1"/>
  <c r="C7" i="1"/>
  <c r="C10" i="1"/>
  <c r="C11" i="1"/>
  <c r="C14" i="1"/>
  <c r="D7" i="1" l="1"/>
  <c r="E7" i="1"/>
  <c r="F7" i="1"/>
  <c r="G7" i="1"/>
  <c r="H7" i="1"/>
  <c r="I7" i="1"/>
  <c r="J7" i="1"/>
  <c r="K7" i="1"/>
  <c r="D8" i="1"/>
  <c r="E8" i="1"/>
  <c r="F8" i="1"/>
  <c r="G8" i="1"/>
  <c r="H8" i="1"/>
  <c r="I8" i="1"/>
  <c r="J8" i="1"/>
  <c r="M8" i="1" s="1"/>
  <c r="K8" i="1"/>
  <c r="D9" i="1"/>
  <c r="E9" i="1"/>
  <c r="F9" i="1"/>
  <c r="G9" i="1"/>
  <c r="H9" i="1"/>
  <c r="I9" i="1"/>
  <c r="J9" i="1"/>
  <c r="K9" i="1"/>
  <c r="D10" i="1"/>
  <c r="E10" i="1"/>
  <c r="F10" i="1"/>
  <c r="G10" i="1"/>
  <c r="H10" i="1"/>
  <c r="I10" i="1"/>
  <c r="J10" i="1"/>
  <c r="K10" i="1"/>
  <c r="D11" i="1"/>
  <c r="E11" i="1"/>
  <c r="F11" i="1"/>
  <c r="G11" i="1"/>
  <c r="H11" i="1"/>
  <c r="I11" i="1"/>
  <c r="J11" i="1"/>
  <c r="K11" i="1"/>
  <c r="D12" i="1"/>
  <c r="E12" i="1"/>
  <c r="F12" i="1"/>
  <c r="G12" i="1"/>
  <c r="H12" i="1"/>
  <c r="I12" i="1"/>
  <c r="J12" i="1"/>
  <c r="K12" i="1"/>
  <c r="D13" i="1"/>
  <c r="E13" i="1"/>
  <c r="F13" i="1"/>
  <c r="G13" i="1"/>
  <c r="H13" i="1"/>
  <c r="I13" i="1"/>
  <c r="J13" i="1"/>
  <c r="K13" i="1"/>
  <c r="D14" i="1"/>
  <c r="E14" i="1"/>
  <c r="F14" i="1"/>
  <c r="G14" i="1"/>
  <c r="H14" i="1"/>
  <c r="I14" i="1"/>
  <c r="J14" i="1"/>
  <c r="K14" i="1"/>
  <c r="K6" i="1"/>
  <c r="J6" i="1"/>
  <c r="I6" i="1"/>
  <c r="H6" i="1"/>
  <c r="G6" i="1"/>
  <c r="F6" i="1"/>
  <c r="E6" i="1"/>
  <c r="D6" i="1"/>
  <c r="M7" i="1" l="1"/>
  <c r="M6" i="1"/>
  <c r="M14" i="1"/>
  <c r="M13" i="1"/>
  <c r="M12" i="1"/>
  <c r="M11" i="1"/>
  <c r="M10" i="1"/>
  <c r="M9" i="1"/>
  <c r="L6" i="1"/>
  <c r="L13" i="1"/>
  <c r="L9" i="1"/>
  <c r="L14" i="1"/>
  <c r="L12" i="1"/>
  <c r="L11" i="1"/>
  <c r="L10" i="1"/>
  <c r="L8" i="1"/>
  <c r="L7" i="1"/>
  <c r="E15" i="1"/>
  <c r="I15" i="1"/>
  <c r="G15" i="1"/>
  <c r="K15" i="1"/>
  <c r="H15" i="1"/>
  <c r="F15" i="1"/>
  <c r="J15" i="1"/>
  <c r="C24" i="2"/>
  <c r="C25" i="2"/>
  <c r="C26" i="2"/>
  <c r="C27" i="2"/>
  <c r="C28" i="2"/>
  <c r="C29" i="2"/>
  <c r="C30" i="2"/>
  <c r="C31" i="2"/>
  <c r="C23" i="2"/>
  <c r="M15" i="1" l="1"/>
  <c r="B19" i="1"/>
  <c r="B18" i="1"/>
  <c r="B16" i="5"/>
  <c r="B5" i="5"/>
  <c r="B9" i="5"/>
  <c r="B13" i="5"/>
  <c r="B2" i="5"/>
  <c r="B6" i="5"/>
  <c r="B10" i="5"/>
  <c r="B14" i="5"/>
  <c r="B3" i="5"/>
  <c r="B7" i="5"/>
  <c r="B11" i="5"/>
  <c r="B15" i="5"/>
  <c r="B4" i="5"/>
  <c r="B8" i="5"/>
  <c r="B12" i="5"/>
  <c r="B1" i="5"/>
  <c r="L15" i="1"/>
</calcChain>
</file>

<file path=xl/connections.xml><?xml version="1.0" encoding="utf-8"?>
<connections xmlns="http://schemas.openxmlformats.org/spreadsheetml/2006/main">
  <connection id="1" name="20151123_1200_floor_ceil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2" name="20151123_1200_floor_ceil1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3" name="20151123_1200_floor_ceil2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4" name="20151123_1200_floor_ceil3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5" name="20151123_1200_floor_ceil4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6" name="20151123_1200_floor_ceil5" type="6" refreshedVersion="5" background="1" saveData="1">
    <textPr prompt="0" codePage="437" sourceFile="C:\Users\tnewill\Dropbox\Business Ideas\NBAPredictor\DATA\preProcessed\20151123_1200_floor_ceil.csv" tab="0" comma="1">
      <textFields>
        <textField/>
      </textFields>
    </textPr>
  </connection>
  <connection id="7" name="20151124_1200_floor_ceil" type="6" refreshedVersion="5" background="1" saveData="1">
    <textPr prompt="0" codePage="437" sourceFile="C:\Users\barrick\Dropbox\NBAPredictor\DATA\preProcessed\20151124_1200_floor_ceil.csv" tab="0" comma="1" delimiter="(">
      <textFields>
        <textField/>
      </textFields>
    </textPr>
  </connection>
  <connection id="8" name="20151124_1200_floor_ceil1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9" name="20151124_1200_floor_ceil2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0" name="20151124_1200_floor_ceil3" type="6" refreshedVersion="5" background="1" saveData="1">
    <textPr prompt="0" codePage="437" sourceFile="C:\Users\tnewill\Dropbox\Business Ideas\NBAPredictor\DATA\preProcessed\20151124_1200_floor_ceil.csv" tab="0" comma="1">
      <textFields>
        <textField/>
      </textFields>
    </textPr>
  </connection>
  <connection id="11" name="20151125_1200_floor_ceil" type="6" refreshedVersion="5" background="1" saveData="1">
    <textPr prompt="0" codePage="437" sourceFile="C:\Users\tnewill\Dropbox\Business Ideas\NBAPredictor\DATA\preProcessed\20151125_1200_floor_ceil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<sst xmlns="http://schemas.openxmlformats.org/spreadsheetml/2006/main" count="1403" uniqueCount="412">
  <si>
    <t>Specify The Lineup</t>
  </si>
  <si>
    <t>Player Name</t>
  </si>
  <si>
    <t>Spot #</t>
  </si>
  <si>
    <t>Low Cutoff:</t>
  </si>
  <si>
    <t>Experiments:</t>
  </si>
  <si>
    <t>-</t>
  </si>
  <si>
    <t>Tyson_Chandler</t>
  </si>
  <si>
    <t>Ish_Smith</t>
  </si>
  <si>
    <t>Kyle_Lowry</t>
  </si>
  <si>
    <t>Rodney_Hood</t>
  </si>
  <si>
    <t>Evan_Fournier</t>
  </si>
  <si>
    <t>Derrick_Favors</t>
  </si>
  <si>
    <t>Paul_Millsap</t>
  </si>
  <si>
    <t>Jae_Crowder</t>
  </si>
  <si>
    <t>Kawhi_Leonard</t>
  </si>
  <si>
    <t>pos</t>
  </si>
  <si>
    <t>name</t>
  </si>
  <si>
    <t>gameDate</t>
  </si>
  <si>
    <t>team</t>
  </si>
  <si>
    <t>opp</t>
  </si>
  <si>
    <t>salary</t>
  </si>
  <si>
    <t>fppg</t>
  </si>
  <si>
    <t>fpmax</t>
  </si>
  <si>
    <t>fpmin</t>
  </si>
  <si>
    <t>floor</t>
  </si>
  <si>
    <t>ceil</t>
  </si>
  <si>
    <t>average</t>
  </si>
  <si>
    <t>PG</t>
  </si>
  <si>
    <t>C</t>
  </si>
  <si>
    <t>SF</t>
  </si>
  <si>
    <t>SG</t>
  </si>
  <si>
    <t>PF</t>
  </si>
  <si>
    <t>SAC</t>
  </si>
  <si>
    <t>MIA</t>
  </si>
  <si>
    <t>CHA</t>
  </si>
  <si>
    <t>DET</t>
  </si>
  <si>
    <t>Stanley Johnson</t>
  </si>
  <si>
    <t>Steve Blake</t>
  </si>
  <si>
    <t>Spencer Dinwiddie</t>
  </si>
  <si>
    <t>ORL</t>
  </si>
  <si>
    <t>CLE</t>
  </si>
  <si>
    <t>MIN</t>
  </si>
  <si>
    <t>PHI</t>
  </si>
  <si>
    <t>UTA</t>
  </si>
  <si>
    <t>OKC</t>
  </si>
  <si>
    <t>PHO</t>
  </si>
  <si>
    <t>SAS</t>
  </si>
  <si>
    <t>NYK</t>
  </si>
  <si>
    <t>MIL</t>
  </si>
  <si>
    <t>Sonny Weems</t>
  </si>
  <si>
    <t>Spencer Hawes</t>
  </si>
  <si>
    <t>Steve Novak</t>
  </si>
  <si>
    <t>Steven Adams</t>
  </si>
  <si>
    <t>T.J. McConnell</t>
  </si>
  <si>
    <t>T.J. Warren</t>
  </si>
  <si>
    <t>Tayshaun Prince</t>
  </si>
  <si>
    <t>Tibor Pleiss</t>
  </si>
  <si>
    <t>Tim Duncan</t>
  </si>
  <si>
    <t>Timofey Mozgov</t>
  </si>
  <si>
    <t>Tobias Harris</t>
  </si>
  <si>
    <t>Tony Parker</t>
  </si>
  <si>
    <t>Trevor Booker</t>
  </si>
  <si>
    <t>Trey Burke</t>
  </si>
  <si>
    <t>Trey Lyles</t>
  </si>
  <si>
    <t>Tristan Thompson</t>
  </si>
  <si>
    <t>Troy Daniels</t>
  </si>
  <si>
    <t>Tyler Ennis</t>
  </si>
  <si>
    <t>Tyler Hansbrough</t>
  </si>
  <si>
    <t>Tyler Johnson</t>
  </si>
  <si>
    <t>Tyson Chandler</t>
  </si>
  <si>
    <t>Tyus Jones</t>
  </si>
  <si>
    <t>Udonis Haslem</t>
  </si>
  <si>
    <t>Victor Oladipo</t>
  </si>
  <si>
    <t>Willie Cauley-Stein</t>
  </si>
  <si>
    <t>Zach LaVine</t>
  </si>
  <si>
    <t>Sigma6</t>
  </si>
  <si>
    <t>Jimmy</t>
  </si>
  <si>
    <t>Butler</t>
  </si>
  <si>
    <t>Blake</t>
  </si>
  <si>
    <t>Griffin</t>
  </si>
  <si>
    <t>Marc</t>
  </si>
  <si>
    <t>Gasol</t>
  </si>
  <si>
    <t>Monta</t>
  </si>
  <si>
    <t>Ellis</t>
  </si>
  <si>
    <t>George</t>
  </si>
  <si>
    <t>Hill</t>
  </si>
  <si>
    <t>Otto</t>
  </si>
  <si>
    <t>Porter</t>
  </si>
  <si>
    <t>Al-Farouq</t>
  </si>
  <si>
    <t>Aminu</t>
  </si>
  <si>
    <t>Jordan</t>
  </si>
  <si>
    <t>Clarkson</t>
  </si>
  <si>
    <t>Darrell</t>
  </si>
  <si>
    <t>Arthur</t>
  </si>
  <si>
    <t>Blake Griffin</t>
  </si>
  <si>
    <t>Marc Gasol</t>
  </si>
  <si>
    <t>Otto Porter</t>
  </si>
  <si>
    <t>Al Horford</t>
  </si>
  <si>
    <t>ATL</t>
  </si>
  <si>
    <t>BOS</t>
  </si>
  <si>
    <t>Amir Johnson</t>
  </si>
  <si>
    <t>Austin Rivers</t>
  </si>
  <si>
    <t>LAC</t>
  </si>
  <si>
    <t>Avery Bradley</t>
  </si>
  <si>
    <t>Bradley Beal</t>
  </si>
  <si>
    <t>WAS</t>
  </si>
  <si>
    <t>Brandan Wright</t>
  </si>
  <si>
    <t>MEM</t>
  </si>
  <si>
    <t>DAL</t>
  </si>
  <si>
    <t>Chandler Parsons</t>
  </si>
  <si>
    <t>Charlie Villanueva</t>
  </si>
  <si>
    <t>Chris Paul</t>
  </si>
  <si>
    <t>Cole Aldrich</t>
  </si>
  <si>
    <t>Courtney Lee</t>
  </si>
  <si>
    <t>David Lee</t>
  </si>
  <si>
    <t>DeAndre Jordan</t>
  </si>
  <si>
    <t>DeJuan Blair</t>
  </si>
  <si>
    <t>Dennis Schroder</t>
  </si>
  <si>
    <t>Deron Williams</t>
  </si>
  <si>
    <t>Devin Harris</t>
  </si>
  <si>
    <t>Dirk Nowitzki</t>
  </si>
  <si>
    <t>Drew Gooden</t>
  </si>
  <si>
    <t>Dwight Powell</t>
  </si>
  <si>
    <t>Evan Turner</t>
  </si>
  <si>
    <t>Garrett Temple</t>
  </si>
  <si>
    <t>Gary Neal</t>
  </si>
  <si>
    <t>Isaiah Thomas</t>
  </si>
  <si>
    <t>J.J. Barea</t>
  </si>
  <si>
    <t>J.J. Redick</t>
  </si>
  <si>
    <t>Jae Crowder</t>
  </si>
  <si>
    <t>Jamal Crawford</t>
  </si>
  <si>
    <t>James Ennis</t>
  </si>
  <si>
    <t>JaMychal Green</t>
  </si>
  <si>
    <t>Jared Dudley</t>
  </si>
  <si>
    <t>Jared Sullinger</t>
  </si>
  <si>
    <t>JaVale McGee</t>
  </si>
  <si>
    <t>Jeff Green</t>
  </si>
  <si>
    <t>Jeff Teague</t>
  </si>
  <si>
    <t>Jeremy Evans</t>
  </si>
  <si>
    <t>John Jenkins</t>
  </si>
  <si>
    <t>John Wall</t>
  </si>
  <si>
    <t>Jonas Jerebko</t>
  </si>
  <si>
    <t>Jordan Adams</t>
  </si>
  <si>
    <t>Jordan Mickey</t>
  </si>
  <si>
    <t>Josh Smith</t>
  </si>
  <si>
    <t>Justin Anderson</t>
  </si>
  <si>
    <t>Justin Holiday</t>
  </si>
  <si>
    <t>Kelly Olynyk</t>
  </si>
  <si>
    <t>Kelly Oubre</t>
  </si>
  <si>
    <t>Kent Bazemore</t>
  </si>
  <si>
    <t>Kris Humphries</t>
  </si>
  <si>
    <t>Kyle Korver</t>
  </si>
  <si>
    <t>Lamar Patterson</t>
  </si>
  <si>
    <t>Lance Stephenson</t>
  </si>
  <si>
    <t>Luc Richard Mbah a Moute</t>
  </si>
  <si>
    <t>Marcin Gortat</t>
  </si>
  <si>
    <t>Marcus Smart</t>
  </si>
  <si>
    <t>Mario Chalmers</t>
  </si>
  <si>
    <t>Matt Barnes</t>
  </si>
  <si>
    <t>Mike Conley</t>
  </si>
  <si>
    <t>Mike Muscala</t>
  </si>
  <si>
    <t>Mike Scott</t>
  </si>
  <si>
    <t>Nene Hilario</t>
  </si>
  <si>
    <t>Pablo Prigioni</t>
  </si>
  <si>
    <t>Paul Millsap</t>
  </si>
  <si>
    <t>Paul Pierce</t>
  </si>
  <si>
    <t>Ramon Sessions</t>
  </si>
  <si>
    <t>Raymond Felton</t>
  </si>
  <si>
    <t>Russ Smith</t>
  </si>
  <si>
    <t>Salah Mejri</t>
  </si>
  <si>
    <t>Shelvin Mack</t>
  </si>
  <si>
    <t>Terry Rozier</t>
  </si>
  <si>
    <t>Thabo Sefolosha</t>
  </si>
  <si>
    <t>Tiago Splitter</t>
  </si>
  <si>
    <t>Tony Allen</t>
  </si>
  <si>
    <t>Tyler Zeller</t>
  </si>
  <si>
    <t>Vince Carter</t>
  </si>
  <si>
    <t>Walter Tavares</t>
  </si>
  <si>
    <t>Wesley Johnson</t>
  </si>
  <si>
    <t>Wesley Matthews</t>
  </si>
  <si>
    <t>Zach Randolph</t>
  </si>
  <si>
    <t>Zaza Pachulia</t>
  </si>
  <si>
    <t>Using File:</t>
  </si>
  <si>
    <t>Sig6/2</t>
  </si>
  <si>
    <t>Success FP Max/Min</t>
  </si>
  <si>
    <t>Success Floor/Ceil</t>
  </si>
  <si>
    <t>C:\Users\tnewill\Dropbox\Business Ideas\NBAPredictor\DATA\preProcessed\20151125_1200_floor_ceil.csv</t>
  </si>
  <si>
    <t>Aaron Gordon</t>
  </si>
  <si>
    <t>Aaron Harrison</t>
  </si>
  <si>
    <t>Adreian Payne</t>
  </si>
  <si>
    <t>Al Jefferson</t>
  </si>
  <si>
    <t>Alec Burks</t>
  </si>
  <si>
    <t>Alex Len</t>
  </si>
  <si>
    <t>NOP</t>
  </si>
  <si>
    <t>Alexis Ajinca</t>
  </si>
  <si>
    <t>Alonzo Gee</t>
  </si>
  <si>
    <t>Amar'e Stoudemire</t>
  </si>
  <si>
    <t>Anderson Varejao</t>
  </si>
  <si>
    <t>TOR</t>
  </si>
  <si>
    <t>Andre Drummond</t>
  </si>
  <si>
    <t>Andre Miller</t>
  </si>
  <si>
    <t>Andre Roberson</t>
  </si>
  <si>
    <t>BKN</t>
  </si>
  <si>
    <t>Andrea Bargnani</t>
  </si>
  <si>
    <t>Andrew Nicholson</t>
  </si>
  <si>
    <t>Andrew Wiggins</t>
  </si>
  <si>
    <t>Anthony Bennett</t>
  </si>
  <si>
    <t>Anthony Davis</t>
  </si>
  <si>
    <t>Anthony Morrow</t>
  </si>
  <si>
    <t>Anthony Tolliver</t>
  </si>
  <si>
    <t>Archie Goodwin</t>
  </si>
  <si>
    <t>Aron Baynes</t>
  </si>
  <si>
    <t>Arron Afflalo</t>
  </si>
  <si>
    <t>Ben McLemore</t>
  </si>
  <si>
    <t>Beno Udrih</t>
  </si>
  <si>
    <t>Bismack Biyombo</t>
  </si>
  <si>
    <t>Boban Marjanovic</t>
  </si>
  <si>
    <t>Bojan Bogdanovic</t>
  </si>
  <si>
    <t>Boris Diaw</t>
  </si>
  <si>
    <t>HOU</t>
  </si>
  <si>
    <t>Brandon Knight</t>
  </si>
  <si>
    <t>Brian Roberts</t>
  </si>
  <si>
    <t>Brook Lopez</t>
  </si>
  <si>
    <t>C.J. Watson</t>
  </si>
  <si>
    <t>Cameron Payne</t>
  </si>
  <si>
    <t>Carmelo Anthony</t>
  </si>
  <si>
    <t>Caron Butler</t>
  </si>
  <si>
    <t>Channing Frye</t>
  </si>
  <si>
    <t>Chris Andersen</t>
  </si>
  <si>
    <t>Chris Bosh</t>
  </si>
  <si>
    <t>Chris Copeland</t>
  </si>
  <si>
    <t>Chris Johnson</t>
  </si>
  <si>
    <t>Christian Wood</t>
  </si>
  <si>
    <t>Cleanthony Early</t>
  </si>
  <si>
    <t>Clint Capela</t>
  </si>
  <si>
    <t>Cody Zeller</t>
  </si>
  <si>
    <t>Corey Brewer</t>
  </si>
  <si>
    <t>Cory Jefferson</t>
  </si>
  <si>
    <t>Cory Joseph</t>
  </si>
  <si>
    <t>D.J. Augustin</t>
  </si>
  <si>
    <t>Damien Inglis</t>
  </si>
  <si>
    <t>Damjan Rudez</t>
  </si>
  <si>
    <t>Danny Green</t>
  </si>
  <si>
    <t>Dante Cunningham</t>
  </si>
  <si>
    <t>Darren Collison</t>
  </si>
  <si>
    <t>Darrun Hilliard</t>
  </si>
  <si>
    <t>David West</t>
  </si>
  <si>
    <t>Delon Wright</t>
  </si>
  <si>
    <t>DeMar DeRozan</t>
  </si>
  <si>
    <t>DeMarcus Cousins</t>
  </si>
  <si>
    <t>DeMarre Carroll</t>
  </si>
  <si>
    <t>Derrick Favors</t>
  </si>
  <si>
    <t>Derrick Williams</t>
  </si>
  <si>
    <t>Devin Booker</t>
  </si>
  <si>
    <t>Devyn Marble</t>
  </si>
  <si>
    <t>Dewayne Dedmon</t>
  </si>
  <si>
    <t>Dion Waiters</t>
  </si>
  <si>
    <t>Donald Sloan</t>
  </si>
  <si>
    <t>Dwight Howard</t>
  </si>
  <si>
    <t>Dwyane Wade</t>
  </si>
  <si>
    <t>Elfrid Payton</t>
  </si>
  <si>
    <t>Elijah Millsap</t>
  </si>
  <si>
    <t>Enes Kanter</t>
  </si>
  <si>
    <t>Eric Bledsoe</t>
  </si>
  <si>
    <t>Eric Gordon</t>
  </si>
  <si>
    <t>Eric Moreland</t>
  </si>
  <si>
    <t>Ersan Ilyasova</t>
  </si>
  <si>
    <t>Evan Fournier</t>
  </si>
  <si>
    <t>Frank Kaminsky</t>
  </si>
  <si>
    <t>Gerald Green</t>
  </si>
  <si>
    <t>Giannis Antetokounmpo</t>
  </si>
  <si>
    <t>Goran Dragic</t>
  </si>
  <si>
    <t>Gordon Hayward</t>
  </si>
  <si>
    <t>Gorgui Dieng</t>
  </si>
  <si>
    <t>Greg Monroe</t>
  </si>
  <si>
    <t>Greivis Vasquez</t>
  </si>
  <si>
    <t>Hassan Whiteside</t>
  </si>
  <si>
    <t>Hollis Thompson</t>
  </si>
  <si>
    <t>Isaiah Canaan</t>
  </si>
  <si>
    <t>Ish Smith</t>
  </si>
  <si>
    <t>J.R. Smith</t>
  </si>
  <si>
    <t>Jabari Parker</t>
  </si>
  <si>
    <t>Jahlil Okafor</t>
  </si>
  <si>
    <t>JaKarr Sampson</t>
  </si>
  <si>
    <t>James Anderson</t>
  </si>
  <si>
    <t>James Harden</t>
  </si>
  <si>
    <t>James Johnson</t>
  </si>
  <si>
    <t>James Jones</t>
  </si>
  <si>
    <t>James Young</t>
  </si>
  <si>
    <t>Jared Cunningham</t>
  </si>
  <si>
    <t>Jarnell Stokes</t>
  </si>
  <si>
    <t>Jarrett Jack</t>
  </si>
  <si>
    <t>Jason Smith</t>
  </si>
  <si>
    <t>Jason Terry</t>
  </si>
  <si>
    <t>Jeff Withey</t>
  </si>
  <si>
    <t>Jerami Grant</t>
  </si>
  <si>
    <t>Jeremy Lamb</t>
  </si>
  <si>
    <t>Jeremy Lin</t>
  </si>
  <si>
    <t>Jerian Grant</t>
  </si>
  <si>
    <t>Jerryd Bayless</t>
  </si>
  <si>
    <t>Jodie Meeks</t>
  </si>
  <si>
    <t>Joe Harris</t>
  </si>
  <si>
    <t>Joe Ingles</t>
  </si>
  <si>
    <t>Joe Johnson</t>
  </si>
  <si>
    <t>Joel Anthony</t>
  </si>
  <si>
    <t>John Henson</t>
  </si>
  <si>
    <t>Johnny O'Bryant</t>
  </si>
  <si>
    <t>Jon Leuer</t>
  </si>
  <si>
    <t>Jonas Valanciunas</t>
  </si>
  <si>
    <t>Jonathon Simmons</t>
  </si>
  <si>
    <t>Jose Calderon</t>
  </si>
  <si>
    <t>Josh McRoberts</t>
  </si>
  <si>
    <t>Josh Richardson</t>
  </si>
  <si>
    <t>Jrue Holiday</t>
  </si>
  <si>
    <t>Justise Winslow</t>
  </si>
  <si>
    <t>K.J. McDaniels</t>
  </si>
  <si>
    <t>Karl-Anthony Towns</t>
  </si>
  <si>
    <t>Kawhi Leonard</t>
  </si>
  <si>
    <t>Kemba Walker</t>
  </si>
  <si>
    <t>Kendrick Perkins</t>
  </si>
  <si>
    <t>Kentavious Caldwell-Pope</t>
  </si>
  <si>
    <t>Kevin Durant</t>
  </si>
  <si>
    <t>Kevin Garnett</t>
  </si>
  <si>
    <t>Kevin Love</t>
  </si>
  <si>
    <t>Kevin Martin</t>
  </si>
  <si>
    <t>Kevin Seraphin</t>
  </si>
  <si>
    <t>Khris Middleton</t>
  </si>
  <si>
    <t>Kosta Koufos</t>
  </si>
  <si>
    <t>Kristaps Porzingis</t>
  </si>
  <si>
    <t>Kyle Anderson</t>
  </si>
  <si>
    <t>Kyle Lowry</t>
  </si>
  <si>
    <t>Kyle O'Quinn</t>
  </si>
  <si>
    <t>Kyle Singler</t>
  </si>
  <si>
    <t>LaMarcus Aldridge</t>
  </si>
  <si>
    <t>Lance Thomas</t>
  </si>
  <si>
    <t>Langston Galloway</t>
  </si>
  <si>
    <t>LeBron James</t>
  </si>
  <si>
    <t>Lou Amundson</t>
  </si>
  <si>
    <t>Lucas Nogueira</t>
  </si>
  <si>
    <t>Luis Scola</t>
  </si>
  <si>
    <t>Luke Babbitt</t>
  </si>
  <si>
    <t>Luol Deng</t>
  </si>
  <si>
    <t>Manu Ginobili</t>
  </si>
  <si>
    <t>Marco Belinelli</t>
  </si>
  <si>
    <t>Marcus Morris</t>
  </si>
  <si>
    <t>Marcus Thornton</t>
  </si>
  <si>
    <t>Mario Hezonja</t>
  </si>
  <si>
    <t>Markel Brown</t>
  </si>
  <si>
    <t>Markieff Morris</t>
  </si>
  <si>
    <t>Marvin Williams</t>
  </si>
  <si>
    <t>Matt Bonner</t>
  </si>
  <si>
    <t>Matthew Dellavedova</t>
  </si>
  <si>
    <t>Michael Carter-Williams</t>
  </si>
  <si>
    <t>Miles Plumlee</t>
  </si>
  <si>
    <t>Mirza Teletovic</t>
  </si>
  <si>
    <t>Mitch McGary</t>
  </si>
  <si>
    <t>Mo Williams</t>
  </si>
  <si>
    <t>Montrezl Harrell</t>
  </si>
  <si>
    <t>Nemanja Bjelica</t>
  </si>
  <si>
    <t>Nerlens Noel</t>
  </si>
  <si>
    <t>Nick Collison</t>
  </si>
  <si>
    <t>Nicolas Batum</t>
  </si>
  <si>
    <t>Nik Stauskas</t>
  </si>
  <si>
    <t>Nikola Vucevic</t>
  </si>
  <si>
    <t>Norman Powell</t>
  </si>
  <si>
    <t>O.J. Mayo</t>
  </si>
  <si>
    <t>Omer Asik</t>
  </si>
  <si>
    <t>Omri Casspi</t>
  </si>
  <si>
    <t>P.J. Hairston</t>
  </si>
  <si>
    <t>P.J. Tucker</t>
  </si>
  <si>
    <t>Patrick Beverley</t>
  </si>
  <si>
    <t>Patrick Patterson</t>
  </si>
  <si>
    <t>Patty Mills</t>
  </si>
  <si>
    <t>Quincy Acy</t>
  </si>
  <si>
    <t>Rajon Rondo</t>
  </si>
  <si>
    <t>Rashad Vaughn</t>
  </si>
  <si>
    <t>Rasual Butler</t>
  </si>
  <si>
    <t>Raulzinho Neto</t>
  </si>
  <si>
    <t>Ray McCallum</t>
  </si>
  <si>
    <t>Reggie Bullock</t>
  </si>
  <si>
    <t>Reggie Jackson</t>
  </si>
  <si>
    <t>Richard Jefferson</t>
  </si>
  <si>
    <t>Richaun Holmes</t>
  </si>
  <si>
    <t>Ricky Rubio</t>
  </si>
  <si>
    <t>Robert Covington</t>
  </si>
  <si>
    <t>Robin Lopez</t>
  </si>
  <si>
    <t>Rodney Hood</t>
  </si>
  <si>
    <t>Rondae Hollis-Jefferson</t>
  </si>
  <si>
    <t>Ronnie Price</t>
  </si>
  <si>
    <t>Rudy Gay</t>
  </si>
  <si>
    <t>Rudy Gobert</t>
  </si>
  <si>
    <t>Russell Westbrook</t>
  </si>
  <si>
    <t>Ryan Anderson</t>
  </si>
  <si>
    <t>Sam Dekker</t>
  </si>
  <si>
    <t>Sasha Kaun</t>
  </si>
  <si>
    <t>Sasha Vujacic</t>
  </si>
  <si>
    <t>Serge Ibaka</t>
  </si>
  <si>
    <t>Sergey Karasev</t>
  </si>
  <si>
    <t>Seth Curry</t>
  </si>
  <si>
    <t>Shabazz Muhammad</t>
  </si>
  <si>
    <t>Shabazz Napier</t>
  </si>
  <si>
    <t>Shane Larkin</t>
  </si>
  <si>
    <t>Terrence Jones</t>
  </si>
  <si>
    <t>Terrence Ross</t>
  </si>
  <si>
    <t>Thaddeus Young</t>
  </si>
  <si>
    <t>Thomas Robinson</t>
  </si>
  <si>
    <t>Tim Hardaway Jr.</t>
  </si>
  <si>
    <t>Toney Douglas</t>
  </si>
  <si>
    <t>F</t>
  </si>
  <si>
    <t>Trevor Ariza</t>
  </si>
  <si>
    <t>Ty Lawson</t>
  </si>
  <si>
    <t>Wayne Ellington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</si>
</sst>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%"/>
  </numFmts>
  <fonts count="9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ourier New"/>
      <family val="3"/>
    </font>
    <font>
      <sz val="22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2"/>
      <color theme="0"/>
      <name val="Courier New"/>
      <family val="3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/>
    <xf numFmtId="0" fontId="0" fillId="0" borderId="0" xfId="0" applyAlignment="1">
      <alignment horizontal="right" vertical="center"/>
    </xf>
    <xf numFmtId="14" fontId="0" fillId="0" borderId="0" xfId="0" applyNumberFormat="1"/>
    <xf numFmtId="0" fontId="3" fillId="2" borderId="0" xfId="0" applyFont="1" applyFill="1"/>
    <xf numFmtId="0" fontId="4" fillId="2" borderId="0" xfId="0" applyFont="1" applyFill="1"/>
    <xf numFmtId="164" fontId="0" fillId="0" borderId="0" xfId="0" applyNumberFormat="1"/>
    <xf numFmtId="0" fontId="0" fillId="0" borderId="0" xfId="0" applyBorder="1"/>
    <xf numFmtId="0" fontId="0" fillId="0" borderId="0" xfId="0" applyFill="1" applyBorder="1" applyAlignment="1"/>
    <xf numFmtId="0" fontId="0" fillId="0" borderId="1" xfId="0" applyBorder="1" applyAlignment="1">
      <alignment horizontal="right"/>
    </xf>
    <xf numFmtId="0" fontId="6" fillId="0" borderId="0" xfId="0" applyFont="1"/>
    <xf numFmtId="0" fontId="6" fillId="0" borderId="2" xfId="0" applyFont="1" applyBorder="1"/>
    <xf numFmtId="0" fontId="3" fillId="2" borderId="3" xfId="0" applyFont="1" applyFill="1" applyBorder="1"/>
    <xf numFmtId="2" fontId="6" fillId="0" borderId="3" xfId="0" applyNumberFormat="1" applyFont="1" applyBorder="1"/>
    <xf numFmtId="2" fontId="6" fillId="0" borderId="0" xfId="0" applyNumberFormat="1" applyFont="1"/>
    <xf numFmtId="0" fontId="7" fillId="2" borderId="5" xfId="0" applyFont="1" applyFill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165" fontId="8" fillId="4" borderId="0" xfId="1" applyNumberFormat="1" applyFont="1" applyFill="1" applyAlignment="1">
      <alignment vertical="center"/>
    </xf>
    <xf numFmtId="165" fontId="5" fillId="0" borderId="0" xfId="1" applyNumberFormat="1" applyFont="1" applyFill="1" applyAlignment="1">
      <alignment vertical="center"/>
    </xf>
    <xf numFmtId="0" fontId="3" fillId="2" borderId="0" xfId="0" applyFont="1" applyFill="1" applyBorder="1"/>
    <xf numFmtId="0" fontId="0" fillId="0" borderId="0" xfId="0" applyBorder="1" applyAlignment="1">
      <alignment horizontal="right" vertical="center"/>
    </xf>
    <xf numFmtId="0" fontId="0" fillId="4" borderId="1" xfId="0" applyFill="1" applyBorder="1" applyAlignment="1">
      <alignment horizontal="center"/>
    </xf>
    <xf numFmtId="10" fontId="5" fillId="4" borderId="0" xfId="1" applyNumberFormat="1" applyFont="1" applyFill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ProbabilityDensity!$A$1:$A$16</c:f>
              <c:numCache>
                <c:formatCode>General</c:formatCode>
                <c:ptCount val="16"/>
                <c:pt idx="0">
                  <c:v>200</c:v>
                </c:pt>
                <c:pt idx="1">
                  <c:v>210</c:v>
                </c:pt>
                <c:pt idx="2">
                  <c:v>220</c:v>
                </c:pt>
                <c:pt idx="3">
                  <c:v>230</c:v>
                </c:pt>
                <c:pt idx="4">
                  <c:v>240</c:v>
                </c:pt>
                <c:pt idx="5">
                  <c:v>250</c:v>
                </c:pt>
                <c:pt idx="6">
                  <c:v>260</c:v>
                </c:pt>
                <c:pt idx="7">
                  <c:v>270</c:v>
                </c:pt>
                <c:pt idx="8">
                  <c:v>280</c:v>
                </c:pt>
                <c:pt idx="9">
                  <c:v>290</c:v>
                </c:pt>
                <c:pt idx="10">
                  <c:v>300</c:v>
                </c:pt>
                <c:pt idx="11">
                  <c:v>310</c:v>
                </c:pt>
                <c:pt idx="12">
                  <c:v>320</c:v>
                </c:pt>
                <c:pt idx="13">
                  <c:v>330</c:v>
                </c:pt>
                <c:pt idx="14">
                  <c:v>340</c:v>
                </c:pt>
                <c:pt idx="15">
                  <c:v>350</c:v>
                </c:pt>
              </c:numCache>
            </c:numRef>
          </c:xVal>
          <c:yVal>
            <c:numRef>
              <c:f>ProbabilityDensity!$B$1:$B$16</c:f>
              <c:numCache>
                <c:formatCode>0.00000%</c:formatCode>
                <c:ptCount val="16"/>
                <c:pt idx="0">
                  <c:v>0.99999957629656433</c:v>
                </c:pt>
                <c:pt idx="1">
                  <c:v>0.99999239876358348</c:v>
                </c:pt>
                <c:pt idx="2">
                  <c:v>0.99990324734805203</c:v>
                </c:pt>
                <c:pt idx="3">
                  <c:v>0.9991228738923954</c:v>
                </c:pt>
                <c:pt idx="4">
                  <c:v>0.99430621940842456</c:v>
                </c:pt>
                <c:pt idx="5">
                  <c:v>0.97333191804056229</c:v>
                </c:pt>
                <c:pt idx="6">
                  <c:v>0.90886577239668198</c:v>
                </c:pt>
                <c:pt idx="7">
                  <c:v>0.76895711726860572</c:v>
                </c:pt>
                <c:pt idx="8">
                  <c:v>0.55449663579238762</c:v>
                </c:pt>
                <c:pt idx="9">
                  <c:v>0.32227168350952118</c:v>
                </c:pt>
                <c:pt idx="10">
                  <c:v>0.14463099019782832</c:v>
                </c:pt>
                <c:pt idx="11">
                  <c:v>4.8645791032806196E-2</c:v>
                </c:pt>
                <c:pt idx="12">
                  <c:v>1.2019214485505636E-2</c:v>
                </c:pt>
                <c:pt idx="13">
                  <c:v>2.1525141902704603E-3</c:v>
                </c:pt>
                <c:pt idx="14">
                  <c:v>2.7689977493222662E-4</c:v>
                </c:pt>
                <c:pt idx="15">
                  <c:v>2.5426331541733571E-5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Sheet1!$B$16</c:f>
              <c:strCache>
                <c:ptCount val="1"/>
                <c:pt idx="0">
                  <c:v>280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14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dPt>
            <c:idx val="0"/>
            <c:marker>
              <c:symbol val="circle"/>
              <c:size val="14"/>
              <c:spPr>
                <a:solidFill>
                  <a:schemeClr val="accent2">
                    <a:lumMod val="60000"/>
                    <a:lumOff val="40000"/>
                  </a:schemeClr>
                </a:solidFill>
                <a:ln>
                  <a:solidFill>
                    <a:schemeClr val="accent2">
                      <a:alpha val="98000"/>
                    </a:schemeClr>
                  </a:solidFill>
                </a:ln>
                <a:effectLst>
                  <a:glow rad="63500">
                    <a:schemeClr val="accent2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spPr>
              <a:ln w="22225" cap="rnd">
                <a:noFill/>
                <a:headEnd type="triangle"/>
              </a:ln>
              <a:effectLst>
                <a:glow rad="139700">
                  <a:schemeClr val="accent2">
                    <a:satMod val="175000"/>
                    <a:alpha val="14000"/>
                  </a:schemeClr>
                </a:glow>
              </a:effectLst>
            </c:spPr>
          </c:dPt>
          <c:xVal>
            <c:numRef>
              <c:f>Sheet1!$B$16</c:f>
              <c:numCache>
                <c:formatCode>General</c:formatCode>
                <c:ptCount val="1"/>
                <c:pt idx="0">
                  <c:v>280</c:v>
                </c:pt>
              </c:numCache>
            </c:numRef>
          </c:xVal>
          <c:yVal>
            <c:numRef>
              <c:f>Sheet1!$B$18</c:f>
              <c:numCache>
                <c:formatCode>0.00%</c:formatCode>
                <c:ptCount val="1"/>
                <c:pt idx="0">
                  <c:v>0.55449663579238762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10736"/>
        <c:axId val="394105248"/>
      </c:scatterChart>
      <c:valAx>
        <c:axId val="394110736"/>
        <c:scaling>
          <c:orientation val="minMax"/>
          <c:max val="350"/>
          <c:min val="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05248"/>
        <c:crosses val="autoZero"/>
        <c:crossBetween val="midCat"/>
      </c:valAx>
      <c:valAx>
        <c:axId val="394105248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11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47627</xdr:colOff>
      <xdr:row>1</xdr:row>
      <xdr:rowOff>28577</xdr:rowOff>
    </xdr:from>
    <xdr:to>
      <xdr:col>12</xdr:col>
      <xdr:colOff>1</xdr:colOff>
      <xdr:row>2</xdr:row>
      <xdr:rowOff>171451</xdr:rowOff>
    </xdr:to>
    <xdr:sp macro="[0]!doFileQuery" textlink="">
      <xdr:nvSpPr>
        <xdr:cNvPr id="3" name="Rectangle 2"/>
        <xdr:cNvSpPr/>
      </xdr:nvSpPr>
      <xdr:spPr>
        <a:xfrm>
          <a:off x="47627" y="228602"/>
          <a:ext cx="8505824" cy="333374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ln>
                <a:noFill/>
              </a:ln>
            </a:rPr>
            <a:t>Load</a:t>
          </a:r>
          <a:r>
            <a:rPr lang="en-US" sz="1600" b="1" baseline="0">
              <a:ln>
                <a:noFill/>
              </a:ln>
            </a:rPr>
            <a:t> today's file</a:t>
          </a:r>
          <a:endParaRPr lang="en-US" sz="1600" b="1">
            <a:ln>
              <a:noFill/>
            </a:ln>
          </a:endParaRPr>
        </a:p>
      </xdr:txBody>
    </xdr:sp>
    <xdr:clientData/>
  </xdr:twoCellAnchor>
  <xdr:twoCellAnchor>
    <xdr:from>
      <xdr:col>3</xdr:col>
      <xdr:colOff>38100</xdr:colOff>
      <xdr:row>15</xdr:row>
      <xdr:rowOff>57151</xdr:rowOff>
    </xdr:from>
    <xdr:to>
      <xdr:col>11</xdr:col>
      <xdr:colOff>581025</xdr:colOff>
      <xdr:row>21</xdr:row>
      <xdr:rowOff>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11" growShrinkType="overwriteClear" connectionId="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4" growShrinkType="overwriteClear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6" growShrinkType="overwriteClear" connectionId="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8" growShrinkType="overwriteClear" connectionId="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7" growShrinkType="overwriteClear" connectionId="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5" growShrinkType="overwriteClear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3" growShrinkType="overwriteClear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0" growShrinkType="overwriteClear" connectionId="1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2" growShrinkType="overwriteClear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9" growShrinkType="overwriteClear" connectionId="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tabSelected="1" topLeftCell="A3" workbookViewId="0">
      <selection activeCell="B20" sqref="B20"/>
    </sheetView>
  </sheetViews>
  <sheetFormatPr defaultRowHeight="15" x14ac:dyDescent="0.25"/>
  <cols>
    <col min="1" max="1" width="12.7109375" bestFit="1" customWidth="1"/>
    <col min="2" max="2" width="25.42578125" customWidth="1"/>
    <col min="3" max="3" width="7.85546875" customWidth="1"/>
  </cols>
  <sheetData>
    <row r="1" spans="1:13" ht="15.75" thickBot="1" x14ac:dyDescent="0.3">
      <c r="A1" s="9" t="s">
        <v>182</v>
      </c>
      <c r="B1" s="21" t="s">
        <v>186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8"/>
    </row>
    <row r="2" spans="1:13" x14ac:dyDescent="0.25">
      <c r="A2" s="8"/>
      <c r="B2" s="8"/>
      <c r="C2" s="8"/>
      <c r="D2" s="8"/>
      <c r="E2" s="8"/>
      <c r="F2" s="1"/>
      <c r="G2" s="1"/>
    </row>
    <row r="3" spans="1:13" ht="15.75" thickBot="1" x14ac:dyDescent="0.3"/>
    <row r="4" spans="1:13" ht="21.75" thickBot="1" x14ac:dyDescent="0.4">
      <c r="A4" s="26" t="s">
        <v>0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8"/>
    </row>
    <row r="5" spans="1:13" x14ac:dyDescent="0.25">
      <c r="A5" s="4" t="s">
        <v>2</v>
      </c>
      <c r="B5" s="5" t="s">
        <v>1</v>
      </c>
      <c r="C5" s="4" t="s">
        <v>18</v>
      </c>
      <c r="D5" s="4" t="s">
        <v>19</v>
      </c>
      <c r="E5" s="4" t="s">
        <v>20</v>
      </c>
      <c r="F5" s="4" t="s">
        <v>21</v>
      </c>
      <c r="G5" s="4" t="s">
        <v>22</v>
      </c>
      <c r="H5" s="4" t="s">
        <v>23</v>
      </c>
      <c r="I5" s="4" t="s">
        <v>24</v>
      </c>
      <c r="J5" s="4" t="s">
        <v>25</v>
      </c>
      <c r="K5" s="4" t="s">
        <v>26</v>
      </c>
      <c r="L5" s="12" t="s">
        <v>75</v>
      </c>
      <c r="M5" s="19" t="s">
        <v>183</v>
      </c>
    </row>
    <row r="6" spans="1:13" x14ac:dyDescent="0.25">
      <c r="A6">
        <v>1</v>
      </c>
      <c r="B6" t="s">
        <v>349</v>
      </c>
      <c r="C6" s="11" t="str">
        <f>VLOOKUP($B6,DailyPlayers!$B$2:$L$1000,3,FALSE)</f>
        <v>CHA</v>
      </c>
      <c r="D6" s="10" t="str">
        <f>VLOOKUP($B6,DailyPlayers!$B$2:$L$1000,4,FALSE)</f>
        <v>WAS</v>
      </c>
      <c r="E6" s="10">
        <f>VLOOKUP($B6,DailyPlayers!$B$2:$L$1000,5,FALSE)</f>
        <v>4900</v>
      </c>
      <c r="F6" s="10">
        <f>VLOOKUP($B6,DailyPlayers!$B$2:$L$1000,6,FALSE)</f>
        <v>23.48</v>
      </c>
      <c r="G6" s="10">
        <f>VLOOKUP($B6,DailyPlayers!$B$2:$L$1000,7,FALSE)</f>
        <v>35.4</v>
      </c>
      <c r="H6" s="10">
        <f>VLOOKUP($B6,DailyPlayers!$B$2:$L$1000,8,FALSE)</f>
        <v>8.6999999999999993</v>
      </c>
      <c r="I6" s="10">
        <f>VLOOKUP($B6,DailyPlayers!$B$2:$L$1000,9,FALSE)</f>
        <v>16.03</v>
      </c>
      <c r="J6" s="10">
        <f>VLOOKUP($B6,DailyPlayers!$B$2:$L$1000,10,FALSE)</f>
        <v>30.93</v>
      </c>
      <c r="K6" s="14">
        <f>VLOOKUP($B6,DailyPlayers!$B$2:$L$1000,11,FALSE)</f>
        <v>23.48</v>
      </c>
      <c r="L6" s="13">
        <f>(G6-H6)/6</f>
        <v>4.45</v>
      </c>
      <c r="M6">
        <f>(J6-I6)/6</f>
        <v>2.4833333333333329</v>
      </c>
    </row>
    <row r="7" spans="1:13" x14ac:dyDescent="0.25">
      <c r="A7">
        <v>2</v>
      </c>
      <c r="B7" t="s">
        <v>404</v>
      </c>
      <c r="C7" s="11" t="str">
        <f>VLOOKUP($B7,DailyPlayers!$B$2:$L$1000,3,FALSE)</f>
        <v>BKN</v>
      </c>
      <c r="D7" s="10" t="str">
        <f>VLOOKUP($B7,DailyPlayers!$B$2:$L$1000,4,FALSE)</f>
        <v>OKC</v>
      </c>
      <c r="E7" s="10">
        <f>VLOOKUP($B7,DailyPlayers!$B$2:$L$1000,5,FALSE)</f>
        <v>6400</v>
      </c>
      <c r="F7" s="10">
        <f>VLOOKUP($B7,DailyPlayers!$B$2:$L$1000,6,FALSE)</f>
        <v>30.06</v>
      </c>
      <c r="G7" s="10">
        <f>VLOOKUP($B7,DailyPlayers!$B$2:$L$1000,7,FALSE)</f>
        <v>47.5</v>
      </c>
      <c r="H7" s="10">
        <f>VLOOKUP($B7,DailyPlayers!$B$2:$L$1000,8,FALSE)</f>
        <v>16.399999999999999</v>
      </c>
      <c r="I7" s="10">
        <f>VLOOKUP($B7,DailyPlayers!$B$2:$L$1000,9,FALSE)</f>
        <v>21.87</v>
      </c>
      <c r="J7" s="10">
        <f>VLOOKUP($B7,DailyPlayers!$B$2:$L$1000,10,FALSE)</f>
        <v>38.24</v>
      </c>
      <c r="K7" s="14">
        <f>VLOOKUP($B7,DailyPlayers!$B$2:$L$1000,11,FALSE)</f>
        <v>30.055</v>
      </c>
      <c r="L7" s="13">
        <f t="shared" ref="L7:L14" si="0">(G7-H7)/6</f>
        <v>5.1833333333333336</v>
      </c>
      <c r="M7">
        <f t="shared" ref="M7:M14" si="1">(J7-I7)/6</f>
        <v>2.7283333333333335</v>
      </c>
    </row>
    <row r="8" spans="1:13" x14ac:dyDescent="0.25">
      <c r="A8">
        <v>3</v>
      </c>
      <c r="B8" t="s">
        <v>391</v>
      </c>
      <c r="C8" s="11" t="str">
        <f>VLOOKUP($B8,DailyPlayers!$B$2:$L$1000,3,FALSE)</f>
        <v>OKC</v>
      </c>
      <c r="D8" s="10" t="str">
        <f>VLOOKUP($B8,DailyPlayers!$B$2:$L$1000,4,FALSE)</f>
        <v>BKN</v>
      </c>
      <c r="E8" s="10">
        <f>VLOOKUP($B8,DailyPlayers!$B$2:$L$1000,5,FALSE)</f>
        <v>11600</v>
      </c>
      <c r="F8" s="10">
        <f>VLOOKUP($B8,DailyPlayers!$B$2:$L$1000,6,FALSE)</f>
        <v>53.52</v>
      </c>
      <c r="G8" s="10">
        <f>VLOOKUP($B8,DailyPlayers!$B$2:$L$1000,7,FALSE)</f>
        <v>71.2</v>
      </c>
      <c r="H8" s="10">
        <f>VLOOKUP($B8,DailyPlayers!$B$2:$L$1000,8,FALSE)</f>
        <v>39.799999999999997</v>
      </c>
      <c r="I8" s="10">
        <f>VLOOKUP($B8,DailyPlayers!$B$2:$L$1000,9,FALSE)</f>
        <v>44.24</v>
      </c>
      <c r="J8" s="10">
        <f>VLOOKUP($B8,DailyPlayers!$B$2:$L$1000,10,FALSE)</f>
        <v>62.81</v>
      </c>
      <c r="K8" s="14">
        <f>VLOOKUP($B8,DailyPlayers!$B$2:$L$1000,11,FALSE)</f>
        <v>53.524999999999999</v>
      </c>
      <c r="L8" s="13">
        <f t="shared" si="0"/>
        <v>5.2333333333333343</v>
      </c>
      <c r="M8">
        <f t="shared" si="1"/>
        <v>3.0950000000000002</v>
      </c>
    </row>
    <row r="9" spans="1:13" x14ac:dyDescent="0.25">
      <c r="A9">
        <v>4</v>
      </c>
      <c r="B9" t="s">
        <v>374</v>
      </c>
      <c r="C9" s="11" t="str">
        <f>VLOOKUP($B9,DailyPlayers!$B$2:$L$1000,3,FALSE)</f>
        <v>SAC</v>
      </c>
      <c r="D9" s="10" t="str">
        <f>VLOOKUP($B9,DailyPlayers!$B$2:$L$1000,4,FALSE)</f>
        <v>MIL</v>
      </c>
      <c r="E9" s="10">
        <f>VLOOKUP($B9,DailyPlayers!$B$2:$L$1000,5,FALSE)</f>
        <v>8400</v>
      </c>
      <c r="F9" s="10">
        <f>VLOOKUP($B9,DailyPlayers!$B$2:$L$1000,6,FALSE)</f>
        <v>38.81</v>
      </c>
      <c r="G9" s="10">
        <f>VLOOKUP($B9,DailyPlayers!$B$2:$L$1000,7,FALSE)</f>
        <v>57.6</v>
      </c>
      <c r="H9" s="10">
        <f>VLOOKUP($B9,DailyPlayers!$B$2:$L$1000,8,FALSE)</f>
        <v>18.2</v>
      </c>
      <c r="I9" s="10">
        <f>VLOOKUP($B9,DailyPlayers!$B$2:$L$1000,9,FALSE)</f>
        <v>25.37</v>
      </c>
      <c r="J9" s="10">
        <f>VLOOKUP($B9,DailyPlayers!$B$2:$L$1000,10,FALSE)</f>
        <v>52.26</v>
      </c>
      <c r="K9" s="14">
        <f>VLOOKUP($B9,DailyPlayers!$B$2:$L$1000,11,FALSE)</f>
        <v>38.814999999999998</v>
      </c>
      <c r="L9" s="13">
        <f t="shared" si="0"/>
        <v>6.5666666666666673</v>
      </c>
      <c r="M9">
        <f t="shared" si="1"/>
        <v>4.4816666666666665</v>
      </c>
    </row>
    <row r="10" spans="1:13" x14ac:dyDescent="0.25">
      <c r="A10">
        <v>5</v>
      </c>
      <c r="B10" t="s">
        <v>172</v>
      </c>
      <c r="C10" s="11" t="str">
        <f>VLOOKUP($B10,DailyPlayers!$B$2:$L$1000,3,FALSE)</f>
        <v>ATL</v>
      </c>
      <c r="D10" s="10" t="str">
        <f>VLOOKUP($B10,DailyPlayers!$B$2:$L$1000,4,FALSE)</f>
        <v>MIN</v>
      </c>
      <c r="E10" s="10">
        <f>VLOOKUP($B10,DailyPlayers!$B$2:$L$1000,5,FALSE)</f>
        <v>3900</v>
      </c>
      <c r="F10" s="10">
        <f>VLOOKUP($B10,DailyPlayers!$B$2:$L$1000,6,FALSE)</f>
        <v>19.37</v>
      </c>
      <c r="G10" s="10">
        <f>VLOOKUP($B10,DailyPlayers!$B$2:$L$1000,7,FALSE)</f>
        <v>38.9</v>
      </c>
      <c r="H10" s="10">
        <f>VLOOKUP($B10,DailyPlayers!$B$2:$L$1000,8,FALSE)</f>
        <v>10.8</v>
      </c>
      <c r="I10" s="10">
        <f>VLOOKUP($B10,DailyPlayers!$B$2:$L$1000,9,FALSE)</f>
        <v>12.61</v>
      </c>
      <c r="J10" s="10">
        <f>VLOOKUP($B10,DailyPlayers!$B$2:$L$1000,10,FALSE)</f>
        <v>26.12</v>
      </c>
      <c r="K10" s="14">
        <f>VLOOKUP($B10,DailyPlayers!$B$2:$L$1000,11,FALSE)</f>
        <v>19.364999999999998</v>
      </c>
      <c r="L10" s="13">
        <f t="shared" si="0"/>
        <v>4.6833333333333327</v>
      </c>
      <c r="M10">
        <f t="shared" si="1"/>
        <v>2.2516666666666669</v>
      </c>
    </row>
    <row r="11" spans="1:13" x14ac:dyDescent="0.25">
      <c r="A11">
        <v>6</v>
      </c>
      <c r="B11" t="s">
        <v>129</v>
      </c>
      <c r="C11" s="11" t="str">
        <f>VLOOKUP($B11,DailyPlayers!$B$2:$L$1000,3,FALSE)</f>
        <v>BOS</v>
      </c>
      <c r="D11" s="10" t="str">
        <f>VLOOKUP($B11,DailyPlayers!$B$2:$L$1000,4,FALSE)</f>
        <v>PHI</v>
      </c>
      <c r="E11" s="10">
        <f>VLOOKUP($B11,DailyPlayers!$B$2:$L$1000,5,FALSE)</f>
        <v>5100</v>
      </c>
      <c r="F11" s="10">
        <f>VLOOKUP($B11,DailyPlayers!$B$2:$L$1000,6,FALSE)</f>
        <v>23.79</v>
      </c>
      <c r="G11" s="10">
        <f>VLOOKUP($B11,DailyPlayers!$B$2:$L$1000,7,FALSE)</f>
        <v>38</v>
      </c>
      <c r="H11" s="10">
        <f>VLOOKUP($B11,DailyPlayers!$B$2:$L$1000,8,FALSE)</f>
        <v>8.4</v>
      </c>
      <c r="I11" s="10">
        <f>VLOOKUP($B11,DailyPlayers!$B$2:$L$1000,9,FALSE)</f>
        <v>15.82</v>
      </c>
      <c r="J11" s="10">
        <f>VLOOKUP($B11,DailyPlayers!$B$2:$L$1000,10,FALSE)</f>
        <v>31.77</v>
      </c>
      <c r="K11" s="14">
        <f>VLOOKUP($B11,DailyPlayers!$B$2:$L$1000,11,FALSE)</f>
        <v>23.795000000000002</v>
      </c>
      <c r="L11" s="13">
        <f t="shared" si="0"/>
        <v>4.9333333333333336</v>
      </c>
      <c r="M11">
        <f t="shared" si="1"/>
        <v>2.6583333333333332</v>
      </c>
    </row>
    <row r="12" spans="1:13" x14ac:dyDescent="0.25">
      <c r="A12">
        <v>7</v>
      </c>
      <c r="B12" t="s">
        <v>345</v>
      </c>
      <c r="C12" s="11" t="str">
        <f>VLOOKUP($B12,DailyPlayers!$B$2:$L$1000,3,FALSE)</f>
        <v>HOU</v>
      </c>
      <c r="D12" s="10" t="str">
        <f>VLOOKUP($B12,DailyPlayers!$B$2:$L$1000,4,FALSE)</f>
        <v>MEM</v>
      </c>
      <c r="E12" s="10">
        <f>VLOOKUP($B12,DailyPlayers!$B$2:$L$1000,5,FALSE)</f>
        <v>4100</v>
      </c>
      <c r="F12" s="10">
        <f>VLOOKUP($B12,DailyPlayers!$B$2:$L$1000,6,FALSE)</f>
        <v>20.079999999999998</v>
      </c>
      <c r="G12" s="10">
        <f>VLOOKUP($B12,DailyPlayers!$B$2:$L$1000,7,FALSE)</f>
        <v>45.1</v>
      </c>
      <c r="H12" s="10">
        <f>VLOOKUP($B12,DailyPlayers!$B$2:$L$1000,8,FALSE)</f>
        <v>6.9</v>
      </c>
      <c r="I12" s="10">
        <f>VLOOKUP($B12,DailyPlayers!$B$2:$L$1000,9,FALSE)</f>
        <v>9.0299999999999994</v>
      </c>
      <c r="J12" s="10">
        <f>VLOOKUP($B12,DailyPlayers!$B$2:$L$1000,10,FALSE)</f>
        <v>31.12</v>
      </c>
      <c r="K12" s="14">
        <f>VLOOKUP($B12,DailyPlayers!$B$2:$L$1000,11,FALSE)</f>
        <v>20.074999999999999</v>
      </c>
      <c r="L12" s="13">
        <f t="shared" si="0"/>
        <v>6.3666666666666671</v>
      </c>
      <c r="M12">
        <f t="shared" si="1"/>
        <v>3.6816666666666671</v>
      </c>
    </row>
    <row r="13" spans="1:13" x14ac:dyDescent="0.25">
      <c r="A13">
        <v>8</v>
      </c>
      <c r="B13" t="s">
        <v>267</v>
      </c>
      <c r="C13" s="11" t="str">
        <f>VLOOKUP($B13,DailyPlayers!$B$2:$L$1000,3,FALSE)</f>
        <v>ORL</v>
      </c>
      <c r="D13" s="10" t="str">
        <f>VLOOKUP($B13,DailyPlayers!$B$2:$L$1000,4,FALSE)</f>
        <v>NYK</v>
      </c>
      <c r="E13" s="10">
        <f>VLOOKUP($B13,DailyPlayers!$B$2:$L$1000,5,FALSE)</f>
        <v>5900</v>
      </c>
      <c r="F13" s="10">
        <f>VLOOKUP($B13,DailyPlayers!$B$2:$L$1000,6,FALSE)</f>
        <v>28.76</v>
      </c>
      <c r="G13" s="10">
        <f>VLOOKUP($B13,DailyPlayers!$B$2:$L$1000,7,FALSE)</f>
        <v>44</v>
      </c>
      <c r="H13" s="10">
        <f>VLOOKUP($B13,DailyPlayers!$B$2:$L$1000,8,FALSE)</f>
        <v>12.3</v>
      </c>
      <c r="I13" s="10">
        <f>VLOOKUP($B13,DailyPlayers!$B$2:$L$1000,9,FALSE)</f>
        <v>18.75</v>
      </c>
      <c r="J13" s="10">
        <f>VLOOKUP($B13,DailyPlayers!$B$2:$L$1000,10,FALSE)</f>
        <v>38.770000000000003</v>
      </c>
      <c r="K13" s="14">
        <f>VLOOKUP($B13,DailyPlayers!$B$2:$L$1000,11,FALSE)</f>
        <v>28.76</v>
      </c>
      <c r="L13" s="13">
        <f t="shared" si="0"/>
        <v>5.2833333333333332</v>
      </c>
      <c r="M13">
        <f t="shared" si="1"/>
        <v>3.3366666666666673</v>
      </c>
    </row>
    <row r="14" spans="1:13" ht="15.75" thickBot="1" x14ac:dyDescent="0.3">
      <c r="A14" s="7">
        <v>9</v>
      </c>
      <c r="B14" t="s">
        <v>199</v>
      </c>
      <c r="C14" s="11" t="str">
        <f>VLOOKUP($B14,DailyPlayers!$B$2:$L$1000,3,FALSE)</f>
        <v>DET</v>
      </c>
      <c r="D14" s="10" t="str">
        <f>VLOOKUP($B14,DailyPlayers!$B$2:$L$1000,4,FALSE)</f>
        <v>MIA</v>
      </c>
      <c r="E14" s="10">
        <f>VLOOKUP($B14,DailyPlayers!$B$2:$L$1000,5,FALSE)</f>
        <v>9600</v>
      </c>
      <c r="F14" s="10">
        <f>VLOOKUP($B14,DailyPlayers!$B$2:$L$1000,6,FALSE)</f>
        <v>44.42</v>
      </c>
      <c r="G14" s="10">
        <f>VLOOKUP($B14,DailyPlayers!$B$2:$L$1000,7,FALSE)</f>
        <v>70.400000000000006</v>
      </c>
      <c r="H14" s="10">
        <f>VLOOKUP($B14,DailyPlayers!$B$2:$L$1000,8,FALSE)</f>
        <v>29.1</v>
      </c>
      <c r="I14" s="10">
        <f>VLOOKUP($B14,DailyPlayers!$B$2:$L$1000,9,FALSE)</f>
        <v>32.67</v>
      </c>
      <c r="J14" s="10">
        <f>VLOOKUP($B14,DailyPlayers!$B$2:$L$1000,10,FALSE)</f>
        <v>56.17</v>
      </c>
      <c r="K14" s="14">
        <f>VLOOKUP($B14,DailyPlayers!$B$2:$L$1000,11,FALSE)</f>
        <v>44.42</v>
      </c>
      <c r="L14" s="13">
        <f t="shared" si="0"/>
        <v>6.8833333333333337</v>
      </c>
      <c r="M14">
        <f t="shared" si="1"/>
        <v>3.9166666666666665</v>
      </c>
    </row>
    <row r="15" spans="1:13" ht="17.25" thickBot="1" x14ac:dyDescent="0.35">
      <c r="A15" s="23"/>
      <c r="B15" s="24"/>
      <c r="C15" s="15"/>
      <c r="D15" s="15"/>
      <c r="E15" s="15">
        <f t="shared" ref="E15:K15" si="2">SUM(E5:E14)</f>
        <v>59900</v>
      </c>
      <c r="F15" s="15">
        <f t="shared" si="2"/>
        <v>282.29000000000002</v>
      </c>
      <c r="G15" s="15">
        <f t="shared" si="2"/>
        <v>448.1</v>
      </c>
      <c r="H15" s="15">
        <f t="shared" si="2"/>
        <v>150.6</v>
      </c>
      <c r="I15" s="15">
        <f t="shared" si="2"/>
        <v>196.39000000000004</v>
      </c>
      <c r="J15" s="15">
        <f t="shared" si="2"/>
        <v>368.19</v>
      </c>
      <c r="K15" s="15">
        <f t="shared" si="2"/>
        <v>282.29000000000002</v>
      </c>
      <c r="L15" s="16">
        <f>SUM(L6:L14)</f>
        <v>49.583333333333336</v>
      </c>
      <c r="M15" s="16">
        <f>SUM(M6:M14)</f>
        <v>28.633333333333336</v>
      </c>
    </row>
    <row r="16" spans="1:13" x14ac:dyDescent="0.25">
      <c r="A16" s="2" t="s">
        <v>3</v>
      </c>
      <c r="B16" s="25">
        <v>280</v>
      </c>
      <c r="C16" s="25"/>
      <c r="G16" s="6"/>
    </row>
    <row r="17" spans="1:7" x14ac:dyDescent="0.25">
      <c r="A17" s="2" t="s">
        <v>4</v>
      </c>
      <c r="B17" s="25">
        <v>5000</v>
      </c>
      <c r="C17" s="25"/>
      <c r="G17" s="6"/>
    </row>
    <row r="18" spans="1:7" ht="28.5" x14ac:dyDescent="0.25">
      <c r="A18" s="2" t="s">
        <v>184</v>
      </c>
      <c r="B18" s="22">
        <f>((1+ERF((($F$15-$B$16)/SQRT(SUMSQ(L6:L14))/SQRT(2))))/2)</f>
        <v>0.55449663579238762</v>
      </c>
      <c r="C18" s="22"/>
    </row>
    <row r="19" spans="1:7" ht="28.5" x14ac:dyDescent="0.25">
      <c r="A19" s="20" t="s">
        <v>185</v>
      </c>
      <c r="B19" s="22">
        <f>((1+ERF((($F$15-$B$16)/SQRT(SUMSQ(M6:M14))/SQRT(2))))/2)</f>
        <v>0.59266535652131824</v>
      </c>
      <c r="C19" s="22"/>
    </row>
    <row r="20" spans="1:7" x14ac:dyDescent="0.25">
      <c r="A20" s="7"/>
      <c r="B20" s="7"/>
      <c r="C20" s="7"/>
    </row>
    <row r="21" spans="1:7" x14ac:dyDescent="0.25">
      <c r="A21" s="7"/>
      <c r="B21" s="7"/>
      <c r="C21" s="7"/>
    </row>
  </sheetData>
  <sheetProtection selectLockedCells="1"/>
  <mergeCells count="7">
    <mergeCell ref="B1:L1"/>
    <mergeCell ref="B19:C19"/>
    <mergeCell ref="A15:B15"/>
    <mergeCell ref="B18:C18"/>
    <mergeCell ref="B16:C16"/>
    <mergeCell ref="B17:C17"/>
    <mergeCell ref="A4:L4"/>
  </mergeCells>
  <conditionalFormatting sqref="F6:F1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32"/>
  <sheetViews>
    <sheetView topLeftCell="A57" workbookViewId="0">
      <selection activeCell="B68" sqref="B68"/>
    </sheetView>
  </sheetViews>
  <sheetFormatPr defaultRowHeight="15" x14ac:dyDescent="0.25"/>
  <cols>
    <col min="1" max="1" width="4.140625" bestFit="1" customWidth="1"/>
    <col min="2" max="2" width="24.7109375" bestFit="1" customWidth="1"/>
    <col min="3" max="3" width="10.7109375" bestFit="1" customWidth="1"/>
    <col min="4" max="4" width="5.5703125" customWidth="1"/>
    <col min="5" max="5" width="5.42578125" bestFit="1" customWidth="1"/>
    <col min="6" max="6" width="6.140625" bestFit="1" customWidth="1"/>
    <col min="7" max="7" width="6" bestFit="1" customWidth="1"/>
    <col min="8" max="8" width="6.5703125" bestFit="1" customWidth="1"/>
    <col min="9" max="9" width="6.28515625" bestFit="1" customWidth="1"/>
    <col min="10" max="10" width="6" bestFit="1" customWidth="1"/>
    <col min="11" max="11" width="9.7109375" bestFit="1" customWidth="1"/>
    <col min="12" max="12" width="8" bestFit="1" customWidth="1"/>
    <col min="13" max="13" width="5.42578125" bestFit="1" customWidth="1"/>
    <col min="14" max="14" width="6.140625" bestFit="1" customWidth="1"/>
    <col min="15" max="15" width="6" bestFit="1" customWidth="1"/>
    <col min="16" max="16" width="6.5703125" bestFit="1" customWidth="1"/>
    <col min="17" max="17" width="6.28515625" bestFit="1" customWidth="1"/>
    <col min="18" max="19" width="6" bestFit="1" customWidth="1"/>
    <col min="20" max="20" width="8" bestFit="1" customWidth="1"/>
  </cols>
  <sheetData>
    <row r="1" spans="1:12" x14ac:dyDescent="0.25">
      <c r="A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25</v>
      </c>
      <c r="L1" t="s">
        <v>26</v>
      </c>
    </row>
    <row r="2" spans="1:12" x14ac:dyDescent="0.25">
      <c r="A2" t="s">
        <v>31</v>
      </c>
      <c r="B2" t="s">
        <v>187</v>
      </c>
      <c r="C2" s="3">
        <v>42333</v>
      </c>
      <c r="D2" t="s">
        <v>39</v>
      </c>
      <c r="E2" t="s">
        <v>47</v>
      </c>
      <c r="F2">
        <v>4100</v>
      </c>
      <c r="G2">
        <v>19.05</v>
      </c>
      <c r="H2">
        <v>31.1</v>
      </c>
      <c r="I2">
        <v>3.4</v>
      </c>
      <c r="J2">
        <v>10.7</v>
      </c>
      <c r="K2" s="3">
        <v>27.4</v>
      </c>
      <c r="L2">
        <v>19.05</v>
      </c>
    </row>
    <row r="3" spans="1:12" x14ac:dyDescent="0.25">
      <c r="A3" t="s">
        <v>27</v>
      </c>
      <c r="B3" t="s">
        <v>188</v>
      </c>
      <c r="C3" s="3">
        <v>42333</v>
      </c>
      <c r="D3" t="s">
        <v>34</v>
      </c>
      <c r="E3" t="s">
        <v>105</v>
      </c>
      <c r="F3">
        <v>3500</v>
      </c>
      <c r="G3">
        <v>1.2</v>
      </c>
      <c r="H3">
        <v>1.2</v>
      </c>
      <c r="I3">
        <v>1.2</v>
      </c>
      <c r="J3">
        <v>1.2</v>
      </c>
      <c r="K3" s="3">
        <v>1.2</v>
      </c>
      <c r="L3">
        <v>1.2</v>
      </c>
    </row>
    <row r="4" spans="1:12" x14ac:dyDescent="0.25">
      <c r="A4" t="s">
        <v>31</v>
      </c>
      <c r="B4" t="s">
        <v>189</v>
      </c>
      <c r="C4" s="3">
        <v>42333</v>
      </c>
      <c r="D4" t="s">
        <v>41</v>
      </c>
      <c r="E4" t="s">
        <v>98</v>
      </c>
      <c r="F4">
        <v>3500</v>
      </c>
      <c r="G4">
        <v>10.67</v>
      </c>
      <c r="H4">
        <v>19</v>
      </c>
      <c r="I4">
        <v>2</v>
      </c>
      <c r="J4">
        <v>4.51</v>
      </c>
      <c r="K4" s="3">
        <v>16.829999999999998</v>
      </c>
      <c r="L4">
        <v>10.67</v>
      </c>
    </row>
    <row r="5" spans="1:12" x14ac:dyDescent="0.25">
      <c r="A5" t="s">
        <v>28</v>
      </c>
      <c r="B5" t="s">
        <v>97</v>
      </c>
      <c r="C5" s="3">
        <v>42333</v>
      </c>
      <c r="D5" t="s">
        <v>98</v>
      </c>
      <c r="E5" t="s">
        <v>41</v>
      </c>
      <c r="F5">
        <v>7400</v>
      </c>
      <c r="G5">
        <v>32.380000000000003</v>
      </c>
      <c r="H5">
        <v>44.1</v>
      </c>
      <c r="I5">
        <v>21.7</v>
      </c>
      <c r="J5">
        <v>25.8</v>
      </c>
      <c r="K5" s="3">
        <v>38.96</v>
      </c>
      <c r="L5">
        <v>32.380000000000003</v>
      </c>
    </row>
    <row r="6" spans="1:12" x14ac:dyDescent="0.25">
      <c r="A6" t="s">
        <v>28</v>
      </c>
      <c r="B6" t="s">
        <v>190</v>
      </c>
      <c r="C6" s="3">
        <v>42333</v>
      </c>
      <c r="D6" t="s">
        <v>34</v>
      </c>
      <c r="E6" t="s">
        <v>105</v>
      </c>
      <c r="F6">
        <v>7100</v>
      </c>
      <c r="G6">
        <v>27.65</v>
      </c>
      <c r="H6">
        <v>52</v>
      </c>
      <c r="I6">
        <v>13</v>
      </c>
      <c r="J6">
        <v>17.47</v>
      </c>
      <c r="K6" s="3">
        <v>37.840000000000003</v>
      </c>
      <c r="L6">
        <v>27.655000000000001</v>
      </c>
    </row>
    <row r="7" spans="1:12" x14ac:dyDescent="0.25">
      <c r="A7" t="s">
        <v>30</v>
      </c>
      <c r="B7" t="s">
        <v>191</v>
      </c>
      <c r="C7" s="3">
        <v>42333</v>
      </c>
      <c r="D7" t="s">
        <v>43</v>
      </c>
      <c r="E7" t="s">
        <v>102</v>
      </c>
      <c r="F7">
        <v>5200</v>
      </c>
      <c r="G7">
        <v>22.27</v>
      </c>
      <c r="H7">
        <v>31.1</v>
      </c>
      <c r="I7">
        <v>12.2</v>
      </c>
      <c r="J7">
        <v>15.89</v>
      </c>
      <c r="K7" s="3">
        <v>28.64</v>
      </c>
      <c r="L7">
        <v>22.265000000000001</v>
      </c>
    </row>
    <row r="8" spans="1:12" x14ac:dyDescent="0.25">
      <c r="A8" t="s">
        <v>28</v>
      </c>
      <c r="B8" t="s">
        <v>192</v>
      </c>
      <c r="C8" s="3">
        <v>42333</v>
      </c>
      <c r="D8" t="s">
        <v>45</v>
      </c>
      <c r="E8" t="s">
        <v>193</v>
      </c>
      <c r="F8">
        <v>3500</v>
      </c>
      <c r="G8">
        <v>12.97</v>
      </c>
      <c r="H8">
        <v>23.9</v>
      </c>
      <c r="I8">
        <v>1.7</v>
      </c>
      <c r="J8">
        <v>5.84</v>
      </c>
      <c r="K8" s="3">
        <v>20.100000000000001</v>
      </c>
      <c r="L8">
        <v>12.97</v>
      </c>
    </row>
    <row r="9" spans="1:12" x14ac:dyDescent="0.25">
      <c r="A9" t="s">
        <v>28</v>
      </c>
      <c r="B9" t="s">
        <v>194</v>
      </c>
      <c r="C9" s="3">
        <v>42333</v>
      </c>
      <c r="D9" t="s">
        <v>193</v>
      </c>
      <c r="E9" t="s">
        <v>45</v>
      </c>
      <c r="F9">
        <v>3600</v>
      </c>
      <c r="G9">
        <v>11.28</v>
      </c>
      <c r="H9">
        <v>28.5</v>
      </c>
      <c r="I9">
        <v>-1.8</v>
      </c>
      <c r="J9">
        <v>3.67</v>
      </c>
      <c r="K9" s="3">
        <v>18.899999999999999</v>
      </c>
      <c r="L9">
        <v>11.285</v>
      </c>
    </row>
    <row r="10" spans="1:12" x14ac:dyDescent="0.25">
      <c r="A10" t="s">
        <v>29</v>
      </c>
      <c r="B10" t="s">
        <v>195</v>
      </c>
      <c r="C10" s="3">
        <v>42333</v>
      </c>
      <c r="D10" t="s">
        <v>193</v>
      </c>
      <c r="E10" t="s">
        <v>45</v>
      </c>
      <c r="F10">
        <v>3800</v>
      </c>
      <c r="G10">
        <v>10.58</v>
      </c>
      <c r="H10">
        <v>28.9</v>
      </c>
      <c r="I10">
        <v>1.2</v>
      </c>
      <c r="J10">
        <v>3.59</v>
      </c>
      <c r="K10" s="3">
        <v>17.57</v>
      </c>
      <c r="L10">
        <v>10.58</v>
      </c>
    </row>
    <row r="11" spans="1:12" x14ac:dyDescent="0.25">
      <c r="A11" t="s">
        <v>31</v>
      </c>
      <c r="B11" t="s">
        <v>196</v>
      </c>
      <c r="C11" s="3">
        <v>42333</v>
      </c>
      <c r="D11" t="s">
        <v>33</v>
      </c>
      <c r="E11" t="s">
        <v>35</v>
      </c>
      <c r="F11">
        <v>3800</v>
      </c>
      <c r="G11">
        <v>8.65</v>
      </c>
      <c r="H11">
        <v>11.7</v>
      </c>
      <c r="I11">
        <v>5.6</v>
      </c>
      <c r="J11">
        <v>5.6</v>
      </c>
      <c r="K11" s="3">
        <v>11.7</v>
      </c>
      <c r="L11">
        <v>8.65</v>
      </c>
    </row>
    <row r="12" spans="1:12" x14ac:dyDescent="0.25">
      <c r="A12" t="s">
        <v>28</v>
      </c>
      <c r="B12" t="s">
        <v>100</v>
      </c>
      <c r="C12" s="3">
        <v>42333</v>
      </c>
      <c r="D12" t="s">
        <v>99</v>
      </c>
      <c r="E12" t="s">
        <v>42</v>
      </c>
      <c r="F12">
        <v>4700</v>
      </c>
      <c r="G12">
        <v>18.350000000000001</v>
      </c>
      <c r="H12">
        <v>45.6</v>
      </c>
      <c r="I12">
        <v>4.5</v>
      </c>
      <c r="J12">
        <v>8.0399999999999991</v>
      </c>
      <c r="K12" s="3">
        <v>28.66</v>
      </c>
      <c r="L12">
        <v>18.350000000000001</v>
      </c>
    </row>
    <row r="13" spans="1:12" x14ac:dyDescent="0.25">
      <c r="A13" t="s">
        <v>28</v>
      </c>
      <c r="B13" t="s">
        <v>197</v>
      </c>
      <c r="C13" s="3">
        <v>42333</v>
      </c>
      <c r="D13" t="s">
        <v>40</v>
      </c>
      <c r="E13" t="s">
        <v>198</v>
      </c>
      <c r="F13">
        <v>3500</v>
      </c>
      <c r="G13">
        <v>7.13</v>
      </c>
      <c r="H13">
        <v>13.6</v>
      </c>
      <c r="I13">
        <v>-2</v>
      </c>
      <c r="J13">
        <v>2.37</v>
      </c>
      <c r="K13" s="3">
        <v>11.88</v>
      </c>
      <c r="L13">
        <v>7.125</v>
      </c>
    </row>
    <row r="14" spans="1:12" x14ac:dyDescent="0.25">
      <c r="A14" t="s">
        <v>28</v>
      </c>
      <c r="B14" t="s">
        <v>199</v>
      </c>
      <c r="C14" s="3">
        <v>42333</v>
      </c>
      <c r="D14" t="s">
        <v>35</v>
      </c>
      <c r="E14" t="s">
        <v>33</v>
      </c>
      <c r="F14">
        <v>9600</v>
      </c>
      <c r="G14">
        <v>44.42</v>
      </c>
      <c r="H14">
        <v>70.400000000000006</v>
      </c>
      <c r="I14">
        <v>29.1</v>
      </c>
      <c r="J14">
        <v>32.67</v>
      </c>
      <c r="K14" s="3">
        <v>56.17</v>
      </c>
      <c r="L14">
        <v>44.42</v>
      </c>
    </row>
    <row r="15" spans="1:12" x14ac:dyDescent="0.25">
      <c r="A15" t="s">
        <v>27</v>
      </c>
      <c r="B15" t="s">
        <v>200</v>
      </c>
      <c r="C15" s="3">
        <v>42333</v>
      </c>
      <c r="D15" t="s">
        <v>41</v>
      </c>
      <c r="E15" t="s">
        <v>98</v>
      </c>
      <c r="F15">
        <v>3700</v>
      </c>
      <c r="G15">
        <v>13.12</v>
      </c>
      <c r="H15">
        <v>27.6</v>
      </c>
      <c r="I15">
        <v>2.5</v>
      </c>
      <c r="J15">
        <v>3.33</v>
      </c>
      <c r="K15" s="3">
        <v>22.9</v>
      </c>
      <c r="L15">
        <v>13.115</v>
      </c>
    </row>
    <row r="16" spans="1:12" x14ac:dyDescent="0.25">
      <c r="A16" t="s">
        <v>30</v>
      </c>
      <c r="B16" t="s">
        <v>201</v>
      </c>
      <c r="C16" s="3">
        <v>42333</v>
      </c>
      <c r="D16" t="s">
        <v>44</v>
      </c>
      <c r="E16" t="s">
        <v>202</v>
      </c>
      <c r="F16">
        <v>3500</v>
      </c>
      <c r="G16">
        <v>11.95</v>
      </c>
      <c r="H16">
        <v>20.9</v>
      </c>
      <c r="I16">
        <v>0.4</v>
      </c>
      <c r="J16">
        <v>5.8</v>
      </c>
      <c r="K16" s="3">
        <v>18.11</v>
      </c>
      <c r="L16">
        <v>11.955</v>
      </c>
    </row>
    <row r="17" spans="1:12" x14ac:dyDescent="0.25">
      <c r="A17" t="s">
        <v>28</v>
      </c>
      <c r="B17" t="s">
        <v>203</v>
      </c>
      <c r="C17" s="3">
        <v>42333</v>
      </c>
      <c r="D17" t="s">
        <v>202</v>
      </c>
      <c r="E17" t="s">
        <v>44</v>
      </c>
      <c r="F17">
        <v>3500</v>
      </c>
      <c r="G17">
        <v>8.7799999999999994</v>
      </c>
      <c r="H17">
        <v>28.4</v>
      </c>
      <c r="I17">
        <v>-1</v>
      </c>
      <c r="J17">
        <v>1.67</v>
      </c>
      <c r="K17" s="3">
        <v>15.9</v>
      </c>
      <c r="L17">
        <v>8.7850000000000001</v>
      </c>
    </row>
    <row r="18" spans="1:12" x14ac:dyDescent="0.25">
      <c r="A18" t="s">
        <v>31</v>
      </c>
      <c r="B18" t="s">
        <v>204</v>
      </c>
      <c r="C18" s="3">
        <v>42333</v>
      </c>
      <c r="D18" t="s">
        <v>39</v>
      </c>
      <c r="E18" t="s">
        <v>47</v>
      </c>
      <c r="F18">
        <v>3700</v>
      </c>
      <c r="G18">
        <v>10.82</v>
      </c>
      <c r="H18">
        <v>27.6</v>
      </c>
      <c r="I18">
        <v>0.2</v>
      </c>
      <c r="J18">
        <v>0.7</v>
      </c>
      <c r="K18" s="3">
        <v>20.94</v>
      </c>
      <c r="L18">
        <v>10.82</v>
      </c>
    </row>
    <row r="19" spans="1:12" x14ac:dyDescent="0.25">
      <c r="A19" t="s">
        <v>29</v>
      </c>
      <c r="B19" t="s">
        <v>205</v>
      </c>
      <c r="C19" s="3">
        <v>42333</v>
      </c>
      <c r="D19" t="s">
        <v>41</v>
      </c>
      <c r="E19" t="s">
        <v>98</v>
      </c>
      <c r="F19">
        <v>7500</v>
      </c>
      <c r="G19">
        <v>30.11</v>
      </c>
      <c r="H19">
        <v>47.7</v>
      </c>
      <c r="I19">
        <v>8.1999999999999993</v>
      </c>
      <c r="J19">
        <v>19.829999999999998</v>
      </c>
      <c r="K19" s="3">
        <v>40.39</v>
      </c>
      <c r="L19">
        <v>30.11</v>
      </c>
    </row>
    <row r="20" spans="1:12" x14ac:dyDescent="0.25">
      <c r="A20" t="s">
        <v>31</v>
      </c>
      <c r="B20" t="s">
        <v>206</v>
      </c>
      <c r="C20" s="3">
        <v>42333</v>
      </c>
      <c r="D20" t="s">
        <v>198</v>
      </c>
      <c r="E20" t="s">
        <v>40</v>
      </c>
      <c r="F20">
        <v>3500</v>
      </c>
      <c r="G20">
        <v>4.2300000000000004</v>
      </c>
      <c r="H20">
        <v>7.2</v>
      </c>
      <c r="I20">
        <v>0.2</v>
      </c>
      <c r="J20">
        <v>1.93</v>
      </c>
      <c r="K20" s="3">
        <v>6.54</v>
      </c>
      <c r="L20">
        <v>4.2350000000000003</v>
      </c>
    </row>
    <row r="21" spans="1:12" x14ac:dyDescent="0.25">
      <c r="A21" t="s">
        <v>31</v>
      </c>
      <c r="B21" t="s">
        <v>207</v>
      </c>
      <c r="C21" s="3">
        <v>42333</v>
      </c>
      <c r="D21" t="s">
        <v>193</v>
      </c>
      <c r="E21" t="s">
        <v>45</v>
      </c>
      <c r="F21">
        <v>11100</v>
      </c>
      <c r="G21">
        <v>43.51</v>
      </c>
      <c r="H21">
        <v>72.5</v>
      </c>
      <c r="I21">
        <v>3.9</v>
      </c>
      <c r="J21">
        <v>25.52</v>
      </c>
      <c r="K21" s="3">
        <v>61.5</v>
      </c>
      <c r="L21">
        <v>43.51</v>
      </c>
    </row>
    <row r="22" spans="1:12" x14ac:dyDescent="0.25">
      <c r="A22" t="s">
        <v>30</v>
      </c>
      <c r="B22" t="s">
        <v>208</v>
      </c>
      <c r="C22" s="3">
        <v>42333</v>
      </c>
      <c r="D22" t="s">
        <v>44</v>
      </c>
      <c r="E22" t="s">
        <v>202</v>
      </c>
      <c r="F22">
        <v>3700</v>
      </c>
      <c r="G22">
        <v>10.85</v>
      </c>
      <c r="H22">
        <v>20.5</v>
      </c>
      <c r="I22">
        <v>1</v>
      </c>
      <c r="J22">
        <v>5.01</v>
      </c>
      <c r="K22" s="3">
        <v>16.7</v>
      </c>
      <c r="L22">
        <v>10.855</v>
      </c>
    </row>
    <row r="23" spans="1:12" x14ac:dyDescent="0.25">
      <c r="A23" t="s">
        <v>31</v>
      </c>
      <c r="B23" t="s">
        <v>209</v>
      </c>
      <c r="C23" s="3">
        <v>42333</v>
      </c>
      <c r="D23" t="s">
        <v>35</v>
      </c>
      <c r="E23" t="s">
        <v>33</v>
      </c>
      <c r="F23">
        <v>3600</v>
      </c>
      <c r="G23">
        <v>9.67</v>
      </c>
      <c r="H23">
        <v>20.8</v>
      </c>
      <c r="I23">
        <v>0.2</v>
      </c>
      <c r="J23">
        <v>2.57</v>
      </c>
      <c r="K23" s="3">
        <v>16.760000000000002</v>
      </c>
      <c r="L23">
        <v>9.6649999999999991</v>
      </c>
    </row>
    <row r="24" spans="1:12" x14ac:dyDescent="0.25">
      <c r="A24" t="s">
        <v>27</v>
      </c>
      <c r="B24" t="s">
        <v>210</v>
      </c>
      <c r="C24" s="3">
        <v>42333</v>
      </c>
      <c r="D24" t="s">
        <v>45</v>
      </c>
      <c r="E24" t="s">
        <v>193</v>
      </c>
      <c r="F24">
        <v>3500</v>
      </c>
      <c r="G24">
        <v>10.07</v>
      </c>
      <c r="H24">
        <v>22.2</v>
      </c>
      <c r="I24">
        <v>1</v>
      </c>
      <c r="J24">
        <v>1.6</v>
      </c>
      <c r="K24" s="3">
        <v>18.55</v>
      </c>
      <c r="L24">
        <v>10.074999999999999</v>
      </c>
    </row>
    <row r="25" spans="1:12" x14ac:dyDescent="0.25">
      <c r="A25" t="s">
        <v>28</v>
      </c>
      <c r="B25" t="s">
        <v>211</v>
      </c>
      <c r="C25" s="3">
        <v>42333</v>
      </c>
      <c r="D25" t="s">
        <v>35</v>
      </c>
      <c r="E25" t="s">
        <v>33</v>
      </c>
      <c r="F25">
        <v>3600</v>
      </c>
      <c r="G25">
        <v>10.62</v>
      </c>
      <c r="H25">
        <v>24.7</v>
      </c>
      <c r="I25">
        <v>3.2</v>
      </c>
      <c r="J25">
        <v>4.95</v>
      </c>
      <c r="K25" s="3">
        <v>16.29</v>
      </c>
      <c r="L25">
        <v>10.62</v>
      </c>
    </row>
    <row r="26" spans="1:12" x14ac:dyDescent="0.25">
      <c r="A26" t="s">
        <v>30</v>
      </c>
      <c r="B26" t="s">
        <v>212</v>
      </c>
      <c r="C26" s="3">
        <v>42333</v>
      </c>
      <c r="D26" t="s">
        <v>47</v>
      </c>
      <c r="E26" t="s">
        <v>39</v>
      </c>
      <c r="F26">
        <v>4500</v>
      </c>
      <c r="G26">
        <v>19.100000000000001</v>
      </c>
      <c r="H26">
        <v>26.7</v>
      </c>
      <c r="I26">
        <v>7.6</v>
      </c>
      <c r="J26">
        <v>13.12</v>
      </c>
      <c r="K26" s="3">
        <v>25.08</v>
      </c>
      <c r="L26">
        <v>19.100000000000001</v>
      </c>
    </row>
    <row r="27" spans="1:12" x14ac:dyDescent="0.25">
      <c r="A27" t="s">
        <v>27</v>
      </c>
      <c r="B27" t="s">
        <v>101</v>
      </c>
      <c r="C27" s="3">
        <v>42333</v>
      </c>
      <c r="D27" t="s">
        <v>102</v>
      </c>
      <c r="E27" t="s">
        <v>43</v>
      </c>
      <c r="F27">
        <v>3700</v>
      </c>
      <c r="G27">
        <v>13.56</v>
      </c>
      <c r="H27">
        <v>30.7</v>
      </c>
      <c r="I27">
        <v>-2</v>
      </c>
      <c r="J27">
        <v>6.45</v>
      </c>
      <c r="K27" s="3">
        <v>20.67</v>
      </c>
      <c r="L27">
        <v>13.56</v>
      </c>
    </row>
    <row r="28" spans="1:12" x14ac:dyDescent="0.25">
      <c r="A28" t="s">
        <v>30</v>
      </c>
      <c r="B28" t="s">
        <v>103</v>
      </c>
      <c r="C28" s="3">
        <v>42333</v>
      </c>
      <c r="D28" t="s">
        <v>99</v>
      </c>
      <c r="E28" t="s">
        <v>42</v>
      </c>
      <c r="F28">
        <v>6000</v>
      </c>
      <c r="G28">
        <v>24.87</v>
      </c>
      <c r="H28">
        <v>37.299999999999997</v>
      </c>
      <c r="I28">
        <v>7.1</v>
      </c>
      <c r="J28">
        <v>14.59</v>
      </c>
      <c r="K28" s="3">
        <v>35.15</v>
      </c>
      <c r="L28">
        <v>24.87</v>
      </c>
    </row>
    <row r="29" spans="1:12" x14ac:dyDescent="0.25">
      <c r="A29" t="s">
        <v>30</v>
      </c>
      <c r="B29" t="s">
        <v>213</v>
      </c>
      <c r="C29" s="3">
        <v>42333</v>
      </c>
      <c r="D29" t="s">
        <v>32</v>
      </c>
      <c r="E29" t="s">
        <v>48</v>
      </c>
      <c r="F29">
        <v>3700</v>
      </c>
      <c r="G29">
        <v>11.67</v>
      </c>
      <c r="H29">
        <v>24.8</v>
      </c>
      <c r="I29">
        <v>1.2</v>
      </c>
      <c r="J29">
        <v>4.9800000000000004</v>
      </c>
      <c r="K29" s="3">
        <v>18.36</v>
      </c>
      <c r="L29">
        <v>11.67</v>
      </c>
    </row>
    <row r="30" spans="1:12" x14ac:dyDescent="0.25">
      <c r="A30" t="s">
        <v>27</v>
      </c>
      <c r="B30" t="s">
        <v>214</v>
      </c>
      <c r="C30" s="3">
        <v>42333</v>
      </c>
      <c r="D30" t="s">
        <v>33</v>
      </c>
      <c r="E30" t="s">
        <v>35</v>
      </c>
      <c r="F30">
        <v>3500</v>
      </c>
      <c r="G30">
        <v>10.210000000000001</v>
      </c>
      <c r="H30">
        <v>25.4</v>
      </c>
      <c r="I30">
        <v>2.2000000000000002</v>
      </c>
      <c r="J30">
        <v>2.88</v>
      </c>
      <c r="K30" s="3">
        <v>17.54</v>
      </c>
      <c r="L30">
        <v>10.210000000000001</v>
      </c>
    </row>
    <row r="31" spans="1:12" x14ac:dyDescent="0.25">
      <c r="A31" t="s">
        <v>28</v>
      </c>
      <c r="B31" t="s">
        <v>215</v>
      </c>
      <c r="C31" s="3">
        <v>42333</v>
      </c>
      <c r="D31" t="s">
        <v>198</v>
      </c>
      <c r="E31" t="s">
        <v>40</v>
      </c>
      <c r="F31">
        <v>3600</v>
      </c>
      <c r="G31">
        <v>13.77</v>
      </c>
      <c r="H31">
        <v>28</v>
      </c>
      <c r="I31">
        <v>4.4000000000000004</v>
      </c>
      <c r="J31">
        <v>7.59</v>
      </c>
      <c r="K31" s="3">
        <v>19.95</v>
      </c>
      <c r="L31">
        <v>13.77</v>
      </c>
    </row>
    <row r="32" spans="1:12" x14ac:dyDescent="0.25">
      <c r="A32" t="s">
        <v>31</v>
      </c>
      <c r="B32" t="s">
        <v>94</v>
      </c>
      <c r="C32" s="3">
        <v>42333</v>
      </c>
      <c r="D32" t="s">
        <v>102</v>
      </c>
      <c r="E32" t="s">
        <v>43</v>
      </c>
      <c r="F32">
        <v>9200</v>
      </c>
      <c r="G32">
        <v>41.88</v>
      </c>
      <c r="H32">
        <v>61.1</v>
      </c>
      <c r="I32">
        <v>20.2</v>
      </c>
      <c r="J32">
        <v>30.76</v>
      </c>
      <c r="K32" s="3">
        <v>53</v>
      </c>
      <c r="L32">
        <v>41.88</v>
      </c>
    </row>
    <row r="33" spans="1:12" x14ac:dyDescent="0.25">
      <c r="A33" t="s">
        <v>28</v>
      </c>
      <c r="B33" t="s">
        <v>216</v>
      </c>
      <c r="C33" s="3">
        <v>42333</v>
      </c>
      <c r="D33" t="s">
        <v>46</v>
      </c>
      <c r="E33" t="s">
        <v>108</v>
      </c>
      <c r="F33">
        <v>3500</v>
      </c>
      <c r="G33">
        <v>3.44</v>
      </c>
      <c r="H33">
        <v>11.5</v>
      </c>
      <c r="I33">
        <v>1</v>
      </c>
      <c r="J33">
        <v>-0.03</v>
      </c>
      <c r="K33" s="3">
        <v>6.92</v>
      </c>
      <c r="L33">
        <v>3.4449999999999998</v>
      </c>
    </row>
    <row r="34" spans="1:12" x14ac:dyDescent="0.25">
      <c r="A34" t="s">
        <v>29</v>
      </c>
      <c r="B34" t="s">
        <v>217</v>
      </c>
      <c r="C34" s="3">
        <v>42333</v>
      </c>
      <c r="D34" t="s">
        <v>202</v>
      </c>
      <c r="E34" t="s">
        <v>44</v>
      </c>
      <c r="F34">
        <v>3500</v>
      </c>
      <c r="G34">
        <v>14.35</v>
      </c>
      <c r="H34">
        <v>36.299999999999997</v>
      </c>
      <c r="I34">
        <v>4.8</v>
      </c>
      <c r="J34">
        <v>6.1</v>
      </c>
      <c r="K34" s="3">
        <v>22.6</v>
      </c>
      <c r="L34">
        <v>14.35</v>
      </c>
    </row>
    <row r="35" spans="1:12" x14ac:dyDescent="0.25">
      <c r="A35" t="s">
        <v>31</v>
      </c>
      <c r="B35" t="s">
        <v>218</v>
      </c>
      <c r="C35" s="3">
        <v>42333</v>
      </c>
      <c r="D35" t="s">
        <v>46</v>
      </c>
      <c r="E35" t="s">
        <v>108</v>
      </c>
      <c r="F35">
        <v>3500</v>
      </c>
      <c r="G35">
        <v>13.68</v>
      </c>
      <c r="H35">
        <v>30.1</v>
      </c>
      <c r="I35">
        <v>0.4</v>
      </c>
      <c r="J35">
        <v>5.95</v>
      </c>
      <c r="K35" s="3">
        <v>21.41</v>
      </c>
      <c r="L35">
        <v>13.68</v>
      </c>
    </row>
    <row r="36" spans="1:12" x14ac:dyDescent="0.25">
      <c r="A36" t="s">
        <v>30</v>
      </c>
      <c r="B36" t="s">
        <v>104</v>
      </c>
      <c r="C36" s="3">
        <v>42333</v>
      </c>
      <c r="D36" t="s">
        <v>105</v>
      </c>
      <c r="E36" t="s">
        <v>34</v>
      </c>
      <c r="F36">
        <v>6900</v>
      </c>
      <c r="G36">
        <v>28.85</v>
      </c>
      <c r="H36">
        <v>42</v>
      </c>
      <c r="I36">
        <v>10.199999999999999</v>
      </c>
      <c r="J36">
        <v>19.57</v>
      </c>
      <c r="K36" s="3">
        <v>38.130000000000003</v>
      </c>
      <c r="L36">
        <v>28.85</v>
      </c>
    </row>
    <row r="37" spans="1:12" x14ac:dyDescent="0.25">
      <c r="A37" t="s">
        <v>28</v>
      </c>
      <c r="B37" t="s">
        <v>106</v>
      </c>
      <c r="C37" s="3">
        <v>42333</v>
      </c>
      <c r="D37" t="s">
        <v>107</v>
      </c>
      <c r="E37" t="s">
        <v>219</v>
      </c>
      <c r="F37">
        <v>3700</v>
      </c>
      <c r="G37">
        <v>14.11</v>
      </c>
      <c r="H37">
        <v>28.7</v>
      </c>
      <c r="I37">
        <v>2</v>
      </c>
      <c r="J37">
        <v>6.41</v>
      </c>
      <c r="K37" s="3">
        <v>21.82</v>
      </c>
      <c r="L37">
        <v>14.115</v>
      </c>
    </row>
    <row r="38" spans="1:12" x14ac:dyDescent="0.25">
      <c r="A38" t="s">
        <v>27</v>
      </c>
      <c r="B38" t="s">
        <v>220</v>
      </c>
      <c r="C38" s="3">
        <v>42333</v>
      </c>
      <c r="D38" t="s">
        <v>45</v>
      </c>
      <c r="E38" t="s">
        <v>193</v>
      </c>
      <c r="F38">
        <v>7900</v>
      </c>
      <c r="G38">
        <v>35.01</v>
      </c>
      <c r="H38">
        <v>70.5</v>
      </c>
      <c r="I38">
        <v>10.199999999999999</v>
      </c>
      <c r="J38">
        <v>19.350000000000001</v>
      </c>
      <c r="K38" s="3">
        <v>50.67</v>
      </c>
      <c r="L38">
        <v>35.01</v>
      </c>
    </row>
    <row r="39" spans="1:12" x14ac:dyDescent="0.25">
      <c r="A39" t="s">
        <v>27</v>
      </c>
      <c r="B39" t="s">
        <v>221</v>
      </c>
      <c r="C39" s="3">
        <v>42333</v>
      </c>
      <c r="D39" t="s">
        <v>34</v>
      </c>
      <c r="E39" t="s">
        <v>105</v>
      </c>
      <c r="F39">
        <v>3500</v>
      </c>
      <c r="G39">
        <v>3.77</v>
      </c>
      <c r="H39">
        <v>7.7</v>
      </c>
      <c r="I39">
        <v>1</v>
      </c>
      <c r="J39">
        <v>1.17</v>
      </c>
      <c r="K39" s="3">
        <v>6.36</v>
      </c>
      <c r="L39">
        <v>3.7650000000000001</v>
      </c>
    </row>
    <row r="40" spans="1:12" x14ac:dyDescent="0.25">
      <c r="A40" t="s">
        <v>28</v>
      </c>
      <c r="B40" t="s">
        <v>222</v>
      </c>
      <c r="C40" s="3">
        <v>42333</v>
      </c>
      <c r="D40" t="s">
        <v>202</v>
      </c>
      <c r="E40" t="s">
        <v>44</v>
      </c>
      <c r="F40">
        <v>8000</v>
      </c>
      <c r="G40">
        <v>34.6</v>
      </c>
      <c r="H40">
        <v>44.7</v>
      </c>
      <c r="I40">
        <v>23.4</v>
      </c>
      <c r="J40">
        <v>27.78</v>
      </c>
      <c r="K40" s="3">
        <v>41.42</v>
      </c>
      <c r="L40">
        <v>34.6</v>
      </c>
    </row>
    <row r="41" spans="1:12" x14ac:dyDescent="0.25">
      <c r="A41" t="s">
        <v>27</v>
      </c>
      <c r="B41" t="s">
        <v>223</v>
      </c>
      <c r="C41" s="3">
        <v>42333</v>
      </c>
      <c r="D41" t="s">
        <v>39</v>
      </c>
      <c r="E41" t="s">
        <v>47</v>
      </c>
      <c r="F41">
        <v>3600</v>
      </c>
      <c r="G41">
        <v>13.28</v>
      </c>
      <c r="H41">
        <v>22.5</v>
      </c>
      <c r="I41">
        <v>4.5</v>
      </c>
      <c r="J41">
        <v>7.28</v>
      </c>
      <c r="K41" s="3">
        <v>19.27</v>
      </c>
      <c r="L41">
        <v>13.275</v>
      </c>
    </row>
    <row r="42" spans="1:12" x14ac:dyDescent="0.25">
      <c r="A42" t="s">
        <v>27</v>
      </c>
      <c r="B42" t="s">
        <v>224</v>
      </c>
      <c r="C42" s="3">
        <v>42333</v>
      </c>
      <c r="D42" t="s">
        <v>44</v>
      </c>
      <c r="E42" t="s">
        <v>202</v>
      </c>
      <c r="F42">
        <v>3500</v>
      </c>
      <c r="G42">
        <v>3.35</v>
      </c>
      <c r="H42">
        <v>6.5</v>
      </c>
      <c r="I42">
        <v>-1</v>
      </c>
      <c r="J42">
        <v>0.88</v>
      </c>
      <c r="K42" s="3">
        <v>5.82</v>
      </c>
      <c r="L42">
        <v>3.35</v>
      </c>
    </row>
    <row r="43" spans="1:12" x14ac:dyDescent="0.25">
      <c r="A43" t="s">
        <v>29</v>
      </c>
      <c r="B43" t="s">
        <v>225</v>
      </c>
      <c r="C43" s="3">
        <v>42333</v>
      </c>
      <c r="D43" t="s">
        <v>47</v>
      </c>
      <c r="E43" t="s">
        <v>39</v>
      </c>
      <c r="F43">
        <v>9100</v>
      </c>
      <c r="G43">
        <v>37.19</v>
      </c>
      <c r="H43">
        <v>51.4</v>
      </c>
      <c r="I43">
        <v>18.2</v>
      </c>
      <c r="J43">
        <v>28.64</v>
      </c>
      <c r="K43" s="3">
        <v>45.73</v>
      </c>
      <c r="L43">
        <v>37.185000000000002</v>
      </c>
    </row>
    <row r="44" spans="1:12" x14ac:dyDescent="0.25">
      <c r="A44" t="s">
        <v>29</v>
      </c>
      <c r="B44" t="s">
        <v>226</v>
      </c>
      <c r="C44" s="3">
        <v>42333</v>
      </c>
      <c r="D44" t="s">
        <v>32</v>
      </c>
      <c r="E44" t="s">
        <v>48</v>
      </c>
      <c r="F44">
        <v>3500</v>
      </c>
      <c r="G44">
        <v>6.63</v>
      </c>
      <c r="H44">
        <v>15.8</v>
      </c>
      <c r="I44">
        <v>1</v>
      </c>
      <c r="J44">
        <v>1.1299999999999999</v>
      </c>
      <c r="K44" s="3">
        <v>12.13</v>
      </c>
      <c r="L44">
        <v>6.63</v>
      </c>
    </row>
    <row r="45" spans="1:12" x14ac:dyDescent="0.25">
      <c r="A45" t="s">
        <v>29</v>
      </c>
      <c r="B45" t="s">
        <v>109</v>
      </c>
      <c r="C45" s="3">
        <v>42333</v>
      </c>
      <c r="D45" t="s">
        <v>108</v>
      </c>
      <c r="E45" t="s">
        <v>46</v>
      </c>
      <c r="F45">
        <v>4800</v>
      </c>
      <c r="G45">
        <v>13.25</v>
      </c>
      <c r="H45">
        <v>30.5</v>
      </c>
      <c r="I45">
        <v>5.2</v>
      </c>
      <c r="J45">
        <v>7.04</v>
      </c>
      <c r="K45" s="3">
        <v>19.47</v>
      </c>
      <c r="L45">
        <v>13.255000000000001</v>
      </c>
    </row>
    <row r="46" spans="1:12" x14ac:dyDescent="0.25">
      <c r="A46" t="s">
        <v>31</v>
      </c>
      <c r="B46" t="s">
        <v>227</v>
      </c>
      <c r="C46" s="3">
        <v>42333</v>
      </c>
      <c r="D46" t="s">
        <v>39</v>
      </c>
      <c r="E46" t="s">
        <v>47</v>
      </c>
      <c r="F46">
        <v>3500</v>
      </c>
      <c r="G46">
        <v>11.58</v>
      </c>
      <c r="H46">
        <v>24</v>
      </c>
      <c r="I46">
        <v>1.2</v>
      </c>
      <c r="J46">
        <v>4.58</v>
      </c>
      <c r="K46" s="3">
        <v>18.579999999999998</v>
      </c>
      <c r="L46">
        <v>11.58</v>
      </c>
    </row>
    <row r="47" spans="1:12" x14ac:dyDescent="0.25">
      <c r="A47" t="s">
        <v>31</v>
      </c>
      <c r="B47" t="s">
        <v>110</v>
      </c>
      <c r="C47" s="3">
        <v>42333</v>
      </c>
      <c r="D47" t="s">
        <v>108</v>
      </c>
      <c r="E47" t="s">
        <v>46</v>
      </c>
      <c r="F47">
        <v>3500</v>
      </c>
      <c r="G47">
        <v>12.54</v>
      </c>
      <c r="H47">
        <v>30.5</v>
      </c>
      <c r="I47">
        <v>2</v>
      </c>
      <c r="J47">
        <v>4.0199999999999996</v>
      </c>
      <c r="K47" s="3">
        <v>21.06</v>
      </c>
      <c r="L47">
        <v>12.54</v>
      </c>
    </row>
    <row r="48" spans="1:12" x14ac:dyDescent="0.25">
      <c r="A48" t="s">
        <v>28</v>
      </c>
      <c r="B48" t="s">
        <v>228</v>
      </c>
      <c r="C48" s="3">
        <v>42333</v>
      </c>
      <c r="D48" t="s">
        <v>33</v>
      </c>
      <c r="E48" t="s">
        <v>35</v>
      </c>
      <c r="F48">
        <v>3500</v>
      </c>
      <c r="G48">
        <v>5.8</v>
      </c>
      <c r="H48">
        <v>5.8</v>
      </c>
      <c r="I48">
        <v>5.8</v>
      </c>
      <c r="J48">
        <v>5.8</v>
      </c>
      <c r="K48" s="3">
        <v>5.8</v>
      </c>
      <c r="L48">
        <v>5.8</v>
      </c>
    </row>
    <row r="49" spans="1:12" x14ac:dyDescent="0.25">
      <c r="A49" t="s">
        <v>31</v>
      </c>
      <c r="B49" t="s">
        <v>229</v>
      </c>
      <c r="C49" s="3">
        <v>42333</v>
      </c>
      <c r="D49" t="s">
        <v>33</v>
      </c>
      <c r="E49" t="s">
        <v>35</v>
      </c>
      <c r="F49">
        <v>8000</v>
      </c>
      <c r="G49">
        <v>34.61</v>
      </c>
      <c r="H49">
        <v>45.6</v>
      </c>
      <c r="I49">
        <v>19.399999999999999</v>
      </c>
      <c r="J49">
        <v>27.08</v>
      </c>
      <c r="K49" s="3">
        <v>42.13</v>
      </c>
      <c r="L49">
        <v>34.604999999999997</v>
      </c>
    </row>
    <row r="50" spans="1:12" x14ac:dyDescent="0.25">
      <c r="A50" t="s">
        <v>29</v>
      </c>
      <c r="B50" t="s">
        <v>230</v>
      </c>
      <c r="C50" s="3">
        <v>42333</v>
      </c>
      <c r="D50" t="s">
        <v>48</v>
      </c>
      <c r="E50" t="s">
        <v>32</v>
      </c>
      <c r="F50">
        <v>3500</v>
      </c>
      <c r="G50">
        <v>6.78</v>
      </c>
      <c r="H50">
        <v>11.4</v>
      </c>
      <c r="I50">
        <v>1.5</v>
      </c>
      <c r="J50">
        <v>3.2</v>
      </c>
      <c r="K50" s="3">
        <v>10.35</v>
      </c>
      <c r="L50">
        <v>6.7750000000000004</v>
      </c>
    </row>
    <row r="51" spans="1:12" x14ac:dyDescent="0.25">
      <c r="A51" t="s">
        <v>30</v>
      </c>
      <c r="B51" t="s">
        <v>231</v>
      </c>
      <c r="C51" s="3">
        <v>42333</v>
      </c>
      <c r="D51" t="s">
        <v>43</v>
      </c>
      <c r="E51" t="s">
        <v>102</v>
      </c>
      <c r="F51">
        <v>3500</v>
      </c>
      <c r="G51">
        <v>4.54</v>
      </c>
      <c r="H51">
        <v>9.5</v>
      </c>
      <c r="I51">
        <v>1.2</v>
      </c>
      <c r="J51">
        <v>1.72</v>
      </c>
      <c r="K51" s="3">
        <v>7.36</v>
      </c>
      <c r="L51">
        <v>4.54</v>
      </c>
    </row>
    <row r="52" spans="1:12" x14ac:dyDescent="0.25">
      <c r="A52" t="s">
        <v>27</v>
      </c>
      <c r="B52" t="s">
        <v>111</v>
      </c>
      <c r="C52" s="3">
        <v>42333</v>
      </c>
      <c r="D52" t="s">
        <v>102</v>
      </c>
      <c r="E52" t="s">
        <v>43</v>
      </c>
      <c r="F52">
        <v>8900</v>
      </c>
      <c r="G52">
        <v>34.28</v>
      </c>
      <c r="H52">
        <v>54.8</v>
      </c>
      <c r="I52">
        <v>22.1</v>
      </c>
      <c r="J52">
        <v>24.1</v>
      </c>
      <c r="K52" s="3">
        <v>44.46</v>
      </c>
      <c r="L52">
        <v>34.28</v>
      </c>
    </row>
    <row r="53" spans="1:12" x14ac:dyDescent="0.25">
      <c r="A53" t="s">
        <v>31</v>
      </c>
      <c r="B53" t="s">
        <v>232</v>
      </c>
      <c r="C53" s="3">
        <v>42333</v>
      </c>
      <c r="D53" t="s">
        <v>42</v>
      </c>
      <c r="E53" t="s">
        <v>99</v>
      </c>
      <c r="F53">
        <v>3500</v>
      </c>
      <c r="G53">
        <v>10.79</v>
      </c>
      <c r="H53">
        <v>30.6</v>
      </c>
      <c r="I53">
        <v>2</v>
      </c>
      <c r="J53">
        <v>1.95</v>
      </c>
      <c r="K53" s="3">
        <v>19.62</v>
      </c>
      <c r="L53">
        <v>10.785</v>
      </c>
    </row>
    <row r="54" spans="1:12" x14ac:dyDescent="0.25">
      <c r="A54" t="s">
        <v>29</v>
      </c>
      <c r="B54" t="s">
        <v>233</v>
      </c>
      <c r="C54" s="3">
        <v>42333</v>
      </c>
      <c r="D54" t="s">
        <v>47</v>
      </c>
      <c r="E54" t="s">
        <v>39</v>
      </c>
      <c r="F54">
        <v>3500</v>
      </c>
      <c r="G54">
        <v>4.3</v>
      </c>
      <c r="H54">
        <v>6.7</v>
      </c>
      <c r="I54">
        <v>1.2</v>
      </c>
      <c r="J54">
        <v>2</v>
      </c>
      <c r="K54" s="3">
        <v>6.6</v>
      </c>
      <c r="L54">
        <v>4.3</v>
      </c>
    </row>
    <row r="55" spans="1:12" x14ac:dyDescent="0.25">
      <c r="A55" t="s">
        <v>28</v>
      </c>
      <c r="B55" t="s">
        <v>234</v>
      </c>
      <c r="C55" s="3">
        <v>42333</v>
      </c>
      <c r="D55" t="s">
        <v>219</v>
      </c>
      <c r="E55" t="s">
        <v>107</v>
      </c>
      <c r="F55">
        <v>4500</v>
      </c>
      <c r="G55">
        <v>19.510000000000002</v>
      </c>
      <c r="H55">
        <v>36.4</v>
      </c>
      <c r="I55">
        <v>8.1999999999999993</v>
      </c>
      <c r="J55">
        <v>11.29</v>
      </c>
      <c r="K55" s="3">
        <v>27.72</v>
      </c>
      <c r="L55">
        <v>19.504999999999999</v>
      </c>
    </row>
    <row r="56" spans="1:12" x14ac:dyDescent="0.25">
      <c r="A56" t="s">
        <v>31</v>
      </c>
      <c r="B56" t="s">
        <v>235</v>
      </c>
      <c r="C56" s="3">
        <v>42333</v>
      </c>
      <c r="D56" t="s">
        <v>34</v>
      </c>
      <c r="E56" t="s">
        <v>105</v>
      </c>
      <c r="F56">
        <v>3900</v>
      </c>
      <c r="G56">
        <v>16.78</v>
      </c>
      <c r="H56">
        <v>25.7</v>
      </c>
      <c r="I56">
        <v>8</v>
      </c>
      <c r="J56">
        <v>11.01</v>
      </c>
      <c r="K56" s="3">
        <v>22.56</v>
      </c>
      <c r="L56">
        <v>16.785</v>
      </c>
    </row>
    <row r="57" spans="1:12" x14ac:dyDescent="0.25">
      <c r="A57" t="s">
        <v>28</v>
      </c>
      <c r="B57" t="s">
        <v>112</v>
      </c>
      <c r="C57" s="3">
        <v>42333</v>
      </c>
      <c r="D57" t="s">
        <v>102</v>
      </c>
      <c r="E57" t="s">
        <v>43</v>
      </c>
      <c r="F57">
        <v>3500</v>
      </c>
      <c r="G57">
        <v>3.9</v>
      </c>
      <c r="H57">
        <v>6.8</v>
      </c>
      <c r="I57">
        <v>1</v>
      </c>
      <c r="J57">
        <v>1</v>
      </c>
      <c r="K57" s="3">
        <v>6.8</v>
      </c>
      <c r="L57">
        <v>3.9</v>
      </c>
    </row>
    <row r="58" spans="1:12" x14ac:dyDescent="0.25">
      <c r="A58" t="s">
        <v>29</v>
      </c>
      <c r="B58" t="s">
        <v>236</v>
      </c>
      <c r="C58" s="3">
        <v>42333</v>
      </c>
      <c r="D58" t="s">
        <v>219</v>
      </c>
      <c r="E58" t="s">
        <v>107</v>
      </c>
      <c r="F58">
        <v>3500</v>
      </c>
      <c r="G58">
        <v>13.18</v>
      </c>
      <c r="H58">
        <v>23.9</v>
      </c>
      <c r="I58">
        <v>3</v>
      </c>
      <c r="J58">
        <v>5.85</v>
      </c>
      <c r="K58" s="3">
        <v>20.5</v>
      </c>
      <c r="L58">
        <v>13.175000000000001</v>
      </c>
    </row>
    <row r="59" spans="1:12" x14ac:dyDescent="0.25">
      <c r="A59" t="s">
        <v>31</v>
      </c>
      <c r="B59" t="s">
        <v>237</v>
      </c>
      <c r="C59" s="3">
        <v>42333</v>
      </c>
      <c r="D59" t="s">
        <v>45</v>
      </c>
      <c r="E59" t="s">
        <v>193</v>
      </c>
      <c r="F59">
        <v>3500</v>
      </c>
      <c r="G59">
        <v>4.4000000000000004</v>
      </c>
      <c r="H59">
        <v>4.4000000000000004</v>
      </c>
      <c r="I59">
        <v>4.4000000000000004</v>
      </c>
      <c r="J59">
        <v>4.4000000000000004</v>
      </c>
      <c r="K59" s="3">
        <v>4.4000000000000004</v>
      </c>
      <c r="L59">
        <v>4.4000000000000004</v>
      </c>
    </row>
    <row r="60" spans="1:12" x14ac:dyDescent="0.25">
      <c r="A60" t="s">
        <v>27</v>
      </c>
      <c r="B60" t="s">
        <v>238</v>
      </c>
      <c r="C60" s="3">
        <v>42333</v>
      </c>
      <c r="D60" t="s">
        <v>198</v>
      </c>
      <c r="E60" t="s">
        <v>40</v>
      </c>
      <c r="F60">
        <v>4300</v>
      </c>
      <c r="G60">
        <v>17.95</v>
      </c>
      <c r="H60">
        <v>32.200000000000003</v>
      </c>
      <c r="I60">
        <v>3.9</v>
      </c>
      <c r="J60">
        <v>10.08</v>
      </c>
      <c r="K60" s="3">
        <v>25.82</v>
      </c>
      <c r="L60">
        <v>17.95</v>
      </c>
    </row>
    <row r="61" spans="1:12" x14ac:dyDescent="0.25">
      <c r="A61" t="s">
        <v>30</v>
      </c>
      <c r="B61" t="s">
        <v>113</v>
      </c>
      <c r="C61" s="3">
        <v>42333</v>
      </c>
      <c r="D61" t="s">
        <v>107</v>
      </c>
      <c r="E61" t="s">
        <v>219</v>
      </c>
      <c r="F61">
        <v>3900</v>
      </c>
      <c r="G61">
        <v>15.95</v>
      </c>
      <c r="H61">
        <v>22.4</v>
      </c>
      <c r="I61">
        <v>2.4</v>
      </c>
      <c r="J61">
        <v>10.78</v>
      </c>
      <c r="K61" s="3">
        <v>21.13</v>
      </c>
      <c r="L61">
        <v>15.955</v>
      </c>
    </row>
    <row r="62" spans="1:12" x14ac:dyDescent="0.25">
      <c r="A62" t="s">
        <v>27</v>
      </c>
      <c r="B62" t="s">
        <v>239</v>
      </c>
      <c r="C62" s="3">
        <v>42333</v>
      </c>
      <c r="D62" t="s">
        <v>44</v>
      </c>
      <c r="E62" t="s">
        <v>202</v>
      </c>
      <c r="F62">
        <v>3500</v>
      </c>
      <c r="G62">
        <v>12.21</v>
      </c>
      <c r="H62">
        <v>21.9</v>
      </c>
      <c r="I62">
        <v>0.5</v>
      </c>
      <c r="J62">
        <v>6.12</v>
      </c>
      <c r="K62" s="3">
        <v>18.29</v>
      </c>
      <c r="L62">
        <v>12.205</v>
      </c>
    </row>
    <row r="63" spans="1:12" x14ac:dyDescent="0.25">
      <c r="A63" t="s">
        <v>29</v>
      </c>
      <c r="B63" t="s">
        <v>240</v>
      </c>
      <c r="C63" s="3">
        <v>42333</v>
      </c>
      <c r="D63" t="s">
        <v>48</v>
      </c>
      <c r="E63" t="s">
        <v>32</v>
      </c>
      <c r="F63">
        <v>3500</v>
      </c>
      <c r="G63">
        <v>5.4</v>
      </c>
      <c r="H63">
        <v>10.3</v>
      </c>
      <c r="I63">
        <v>1.2</v>
      </c>
      <c r="J63">
        <v>1.85</v>
      </c>
      <c r="K63" s="3">
        <v>8.9499999999999993</v>
      </c>
      <c r="L63">
        <v>5.4</v>
      </c>
    </row>
    <row r="64" spans="1:12" x14ac:dyDescent="0.25">
      <c r="A64" t="s">
        <v>29</v>
      </c>
      <c r="B64" t="s">
        <v>241</v>
      </c>
      <c r="C64" s="3">
        <v>42333</v>
      </c>
      <c r="D64" t="s">
        <v>41</v>
      </c>
      <c r="E64" t="s">
        <v>98</v>
      </c>
      <c r="F64">
        <v>3500</v>
      </c>
      <c r="G64">
        <v>2.06</v>
      </c>
      <c r="H64">
        <v>5.7</v>
      </c>
      <c r="I64">
        <v>-1</v>
      </c>
      <c r="J64">
        <v>-0.19</v>
      </c>
      <c r="K64" s="3">
        <v>4.3099999999999996</v>
      </c>
      <c r="L64">
        <v>2.06</v>
      </c>
    </row>
    <row r="65" spans="1:12" x14ac:dyDescent="0.25">
      <c r="A65" t="s">
        <v>30</v>
      </c>
      <c r="B65" t="s">
        <v>242</v>
      </c>
      <c r="C65" s="3">
        <v>42333</v>
      </c>
      <c r="D65" t="s">
        <v>46</v>
      </c>
      <c r="E65" t="s">
        <v>108</v>
      </c>
      <c r="F65">
        <v>4300</v>
      </c>
      <c r="G65">
        <v>17.89</v>
      </c>
      <c r="H65">
        <v>30.2</v>
      </c>
      <c r="I65">
        <v>12</v>
      </c>
      <c r="J65">
        <v>13.04</v>
      </c>
      <c r="K65" s="3">
        <v>22.75</v>
      </c>
      <c r="L65">
        <v>17.895</v>
      </c>
    </row>
    <row r="66" spans="1:12" x14ac:dyDescent="0.25">
      <c r="A66" t="s">
        <v>31</v>
      </c>
      <c r="B66" t="s">
        <v>243</v>
      </c>
      <c r="C66" s="3">
        <v>42333</v>
      </c>
      <c r="D66" t="s">
        <v>193</v>
      </c>
      <c r="E66" t="s">
        <v>45</v>
      </c>
      <c r="F66">
        <v>3500</v>
      </c>
      <c r="G66">
        <v>12.25</v>
      </c>
      <c r="H66">
        <v>26</v>
      </c>
      <c r="I66">
        <v>2.2000000000000002</v>
      </c>
      <c r="J66">
        <v>6.11</v>
      </c>
      <c r="K66" s="3">
        <v>18.39</v>
      </c>
      <c r="L66">
        <v>12.25</v>
      </c>
    </row>
    <row r="67" spans="1:12" x14ac:dyDescent="0.25">
      <c r="A67" t="s">
        <v>27</v>
      </c>
      <c r="B67" t="s">
        <v>244</v>
      </c>
      <c r="C67" s="3">
        <v>42333</v>
      </c>
      <c r="D67" t="s">
        <v>32</v>
      </c>
      <c r="E67" t="s">
        <v>48</v>
      </c>
      <c r="F67">
        <v>5100</v>
      </c>
      <c r="G67">
        <v>20.78</v>
      </c>
      <c r="H67">
        <v>36.5</v>
      </c>
      <c r="I67">
        <v>10.5</v>
      </c>
      <c r="J67">
        <v>14.03</v>
      </c>
      <c r="K67" s="3">
        <v>27.53</v>
      </c>
      <c r="L67">
        <v>20.78</v>
      </c>
    </row>
    <row r="68" spans="1:12" x14ac:dyDescent="0.25">
      <c r="A68" t="s">
        <v>30</v>
      </c>
      <c r="B68" t="s">
        <v>245</v>
      </c>
      <c r="C68" s="3">
        <v>42333</v>
      </c>
      <c r="D68" t="s">
        <v>35</v>
      </c>
      <c r="E68" t="s">
        <v>33</v>
      </c>
      <c r="F68">
        <v>3500</v>
      </c>
      <c r="G68">
        <v>3.6</v>
      </c>
      <c r="H68">
        <v>3.6</v>
      </c>
      <c r="I68">
        <v>3.6</v>
      </c>
      <c r="J68">
        <v>3.6</v>
      </c>
      <c r="K68" s="3">
        <v>3.6</v>
      </c>
      <c r="L68">
        <v>3.6</v>
      </c>
    </row>
    <row r="69" spans="1:12" x14ac:dyDescent="0.25">
      <c r="A69" t="s">
        <v>31</v>
      </c>
      <c r="B69" t="s">
        <v>114</v>
      </c>
      <c r="C69" s="3">
        <v>42333</v>
      </c>
      <c r="D69" t="s">
        <v>99</v>
      </c>
      <c r="E69" t="s">
        <v>42</v>
      </c>
      <c r="F69">
        <v>3900</v>
      </c>
      <c r="G69">
        <v>14.69</v>
      </c>
      <c r="H69">
        <v>26.5</v>
      </c>
      <c r="I69">
        <v>2.4</v>
      </c>
      <c r="J69">
        <v>7.19</v>
      </c>
      <c r="K69" s="3">
        <v>22.2</v>
      </c>
      <c r="L69">
        <v>14.695</v>
      </c>
    </row>
    <row r="70" spans="1:12" x14ac:dyDescent="0.25">
      <c r="A70" t="s">
        <v>31</v>
      </c>
      <c r="B70" t="s">
        <v>246</v>
      </c>
      <c r="C70" s="3">
        <v>42333</v>
      </c>
      <c r="D70" t="s">
        <v>46</v>
      </c>
      <c r="E70" t="s">
        <v>108</v>
      </c>
      <c r="F70">
        <v>3800</v>
      </c>
      <c r="G70">
        <v>12.71</v>
      </c>
      <c r="H70">
        <v>27.8</v>
      </c>
      <c r="I70">
        <v>2.4</v>
      </c>
      <c r="J70">
        <v>5.95</v>
      </c>
      <c r="K70" s="3">
        <v>19.48</v>
      </c>
      <c r="L70">
        <v>12.715</v>
      </c>
    </row>
    <row r="71" spans="1:12" x14ac:dyDescent="0.25">
      <c r="A71" t="s">
        <v>28</v>
      </c>
      <c r="B71" t="s">
        <v>115</v>
      </c>
      <c r="C71" s="3">
        <v>42333</v>
      </c>
      <c r="D71" t="s">
        <v>102</v>
      </c>
      <c r="E71" t="s">
        <v>43</v>
      </c>
      <c r="F71">
        <v>7600</v>
      </c>
      <c r="G71">
        <v>33.61</v>
      </c>
      <c r="H71">
        <v>53.1</v>
      </c>
      <c r="I71">
        <v>22.2</v>
      </c>
      <c r="J71">
        <v>24.92</v>
      </c>
      <c r="K71" s="3">
        <v>42.3</v>
      </c>
      <c r="L71">
        <v>33.61</v>
      </c>
    </row>
    <row r="72" spans="1:12" x14ac:dyDescent="0.25">
      <c r="A72" t="s">
        <v>28</v>
      </c>
      <c r="B72" t="s">
        <v>116</v>
      </c>
      <c r="C72" s="3">
        <v>42333</v>
      </c>
      <c r="D72" t="s">
        <v>105</v>
      </c>
      <c r="E72" t="s">
        <v>34</v>
      </c>
      <c r="F72">
        <v>3500</v>
      </c>
      <c r="G72">
        <v>5.48</v>
      </c>
      <c r="H72">
        <v>15.8</v>
      </c>
      <c r="I72">
        <v>-0.8</v>
      </c>
      <c r="J72">
        <v>-0.9</v>
      </c>
      <c r="K72" s="3">
        <v>11.85</v>
      </c>
      <c r="L72">
        <v>5.4749999999999996</v>
      </c>
    </row>
    <row r="73" spans="1:12" x14ac:dyDescent="0.25">
      <c r="A73" t="s">
        <v>27</v>
      </c>
      <c r="B73" t="s">
        <v>247</v>
      </c>
      <c r="C73" s="3">
        <v>42333</v>
      </c>
      <c r="D73" t="s">
        <v>198</v>
      </c>
      <c r="E73" t="s">
        <v>40</v>
      </c>
      <c r="F73">
        <v>3500</v>
      </c>
      <c r="G73">
        <v>1.27</v>
      </c>
      <c r="H73">
        <v>2.4</v>
      </c>
      <c r="I73">
        <v>0.2</v>
      </c>
      <c r="J73">
        <v>0.37</v>
      </c>
      <c r="K73" s="3">
        <v>2.17</v>
      </c>
      <c r="L73">
        <v>1.27</v>
      </c>
    </row>
    <row r="74" spans="1:12" x14ac:dyDescent="0.25">
      <c r="A74" t="s">
        <v>30</v>
      </c>
      <c r="B74" t="s">
        <v>248</v>
      </c>
      <c r="C74" s="3">
        <v>42333</v>
      </c>
      <c r="D74" t="s">
        <v>198</v>
      </c>
      <c r="E74" t="s">
        <v>40</v>
      </c>
      <c r="F74">
        <v>7500</v>
      </c>
      <c r="G74">
        <v>32.04</v>
      </c>
      <c r="H74">
        <v>42</v>
      </c>
      <c r="I74">
        <v>15.7</v>
      </c>
      <c r="J74">
        <v>23.53</v>
      </c>
      <c r="K74" s="3">
        <v>40.549999999999997</v>
      </c>
      <c r="L74">
        <v>32.04</v>
      </c>
    </row>
    <row r="75" spans="1:12" x14ac:dyDescent="0.25">
      <c r="A75" t="s">
        <v>28</v>
      </c>
      <c r="B75" t="s">
        <v>249</v>
      </c>
      <c r="C75" s="3">
        <v>42333</v>
      </c>
      <c r="D75" t="s">
        <v>32</v>
      </c>
      <c r="E75" t="s">
        <v>48</v>
      </c>
      <c r="F75">
        <v>10600</v>
      </c>
      <c r="G75">
        <v>45.16</v>
      </c>
      <c r="H75">
        <v>60.4</v>
      </c>
      <c r="I75">
        <v>25.3</v>
      </c>
      <c r="J75">
        <v>35.409999999999997</v>
      </c>
      <c r="K75" s="3">
        <v>54.9</v>
      </c>
      <c r="L75">
        <v>45.155000000000001</v>
      </c>
    </row>
    <row r="76" spans="1:12" x14ac:dyDescent="0.25">
      <c r="A76" t="s">
        <v>29</v>
      </c>
      <c r="B76" t="s">
        <v>250</v>
      </c>
      <c r="C76" s="3">
        <v>42333</v>
      </c>
      <c r="D76" t="s">
        <v>198</v>
      </c>
      <c r="E76" t="s">
        <v>40</v>
      </c>
      <c r="F76">
        <v>6100</v>
      </c>
      <c r="G76">
        <v>24.03</v>
      </c>
      <c r="H76">
        <v>34</v>
      </c>
      <c r="I76">
        <v>12.2</v>
      </c>
      <c r="J76">
        <v>16.190000000000001</v>
      </c>
      <c r="K76" s="3">
        <v>31.87</v>
      </c>
      <c r="L76">
        <v>24.03</v>
      </c>
    </row>
    <row r="77" spans="1:12" x14ac:dyDescent="0.25">
      <c r="A77" t="s">
        <v>27</v>
      </c>
      <c r="B77" t="s">
        <v>117</v>
      </c>
      <c r="C77" s="3">
        <v>42333</v>
      </c>
      <c r="D77" t="s">
        <v>98</v>
      </c>
      <c r="E77" t="s">
        <v>41</v>
      </c>
      <c r="F77">
        <v>5000</v>
      </c>
      <c r="G77">
        <v>20.7</v>
      </c>
      <c r="H77">
        <v>32.6</v>
      </c>
      <c r="I77">
        <v>8.9</v>
      </c>
      <c r="J77">
        <v>13.89</v>
      </c>
      <c r="K77" s="3">
        <v>27.51</v>
      </c>
      <c r="L77">
        <v>20.7</v>
      </c>
    </row>
    <row r="78" spans="1:12" x14ac:dyDescent="0.25">
      <c r="A78" t="s">
        <v>27</v>
      </c>
      <c r="B78" t="s">
        <v>118</v>
      </c>
      <c r="C78" s="3">
        <v>42333</v>
      </c>
      <c r="D78" t="s">
        <v>108</v>
      </c>
      <c r="E78" t="s">
        <v>46</v>
      </c>
      <c r="F78">
        <v>6700</v>
      </c>
      <c r="G78">
        <v>26.54</v>
      </c>
      <c r="H78">
        <v>45.2</v>
      </c>
      <c r="I78">
        <v>13.5</v>
      </c>
      <c r="J78">
        <v>18.7</v>
      </c>
      <c r="K78" s="3">
        <v>34.39</v>
      </c>
      <c r="L78">
        <v>26.545000000000002</v>
      </c>
    </row>
    <row r="79" spans="1:12" x14ac:dyDescent="0.25">
      <c r="A79" t="s">
        <v>31</v>
      </c>
      <c r="B79" t="s">
        <v>251</v>
      </c>
      <c r="C79" s="3">
        <v>42333</v>
      </c>
      <c r="D79" t="s">
        <v>43</v>
      </c>
      <c r="E79" t="s">
        <v>102</v>
      </c>
      <c r="F79">
        <v>8000</v>
      </c>
      <c r="G79">
        <v>33.49</v>
      </c>
      <c r="H79">
        <v>61.4</v>
      </c>
      <c r="I79">
        <v>8.6</v>
      </c>
      <c r="J79">
        <v>21.14</v>
      </c>
      <c r="K79" s="3">
        <v>45.84</v>
      </c>
      <c r="L79">
        <v>33.49</v>
      </c>
    </row>
    <row r="80" spans="1:12" x14ac:dyDescent="0.25">
      <c r="A80" t="s">
        <v>31</v>
      </c>
      <c r="B80" t="s">
        <v>252</v>
      </c>
      <c r="C80" s="3">
        <v>42333</v>
      </c>
      <c r="D80" t="s">
        <v>47</v>
      </c>
      <c r="E80" t="s">
        <v>39</v>
      </c>
      <c r="F80">
        <v>3500</v>
      </c>
      <c r="G80">
        <v>11.83</v>
      </c>
      <c r="H80">
        <v>33.9</v>
      </c>
      <c r="I80">
        <v>1.2</v>
      </c>
      <c r="J80">
        <v>3.99</v>
      </c>
      <c r="K80" s="3">
        <v>19.68</v>
      </c>
      <c r="L80">
        <v>11.835000000000001</v>
      </c>
    </row>
    <row r="81" spans="1:12" x14ac:dyDescent="0.25">
      <c r="A81" t="s">
        <v>30</v>
      </c>
      <c r="B81" t="s">
        <v>253</v>
      </c>
      <c r="C81" s="3">
        <v>42333</v>
      </c>
      <c r="D81" t="s">
        <v>45</v>
      </c>
      <c r="E81" t="s">
        <v>193</v>
      </c>
      <c r="F81">
        <v>3500</v>
      </c>
      <c r="G81">
        <v>7.51</v>
      </c>
      <c r="H81">
        <v>19.600000000000001</v>
      </c>
      <c r="I81">
        <v>-1</v>
      </c>
      <c r="J81">
        <v>0.66</v>
      </c>
      <c r="K81" s="3">
        <v>14.36</v>
      </c>
      <c r="L81">
        <v>7.51</v>
      </c>
    </row>
    <row r="82" spans="1:12" x14ac:dyDescent="0.25">
      <c r="A82" t="s">
        <v>30</v>
      </c>
      <c r="B82" t="s">
        <v>119</v>
      </c>
      <c r="C82" s="3">
        <v>42333</v>
      </c>
      <c r="D82" t="s">
        <v>108</v>
      </c>
      <c r="E82" t="s">
        <v>46</v>
      </c>
      <c r="F82">
        <v>3800</v>
      </c>
      <c r="G82">
        <v>16.559999999999999</v>
      </c>
      <c r="H82">
        <v>24.8</v>
      </c>
      <c r="I82">
        <v>1.7</v>
      </c>
      <c r="J82">
        <v>10.45</v>
      </c>
      <c r="K82" s="3">
        <v>22.68</v>
      </c>
      <c r="L82">
        <v>16.565000000000001</v>
      </c>
    </row>
    <row r="83" spans="1:12" x14ac:dyDescent="0.25">
      <c r="A83" t="s">
        <v>30</v>
      </c>
      <c r="B83" t="s">
        <v>254</v>
      </c>
      <c r="C83" s="3">
        <v>42333</v>
      </c>
      <c r="D83" t="s">
        <v>39</v>
      </c>
      <c r="E83" t="s">
        <v>47</v>
      </c>
      <c r="F83">
        <v>3500</v>
      </c>
      <c r="G83">
        <v>3.2</v>
      </c>
      <c r="H83">
        <v>3.2</v>
      </c>
      <c r="I83">
        <v>3.2</v>
      </c>
      <c r="J83">
        <v>3.2</v>
      </c>
      <c r="K83" s="3">
        <v>3.2</v>
      </c>
      <c r="L83">
        <v>3.2</v>
      </c>
    </row>
    <row r="84" spans="1:12" x14ac:dyDescent="0.25">
      <c r="A84" t="s">
        <v>28</v>
      </c>
      <c r="B84" t="s">
        <v>255</v>
      </c>
      <c r="C84" s="3">
        <v>42333</v>
      </c>
      <c r="D84" t="s">
        <v>39</v>
      </c>
      <c r="E84" t="s">
        <v>47</v>
      </c>
      <c r="F84">
        <v>3500</v>
      </c>
      <c r="G84">
        <v>13.94</v>
      </c>
      <c r="H84">
        <v>30.8</v>
      </c>
      <c r="I84">
        <v>1</v>
      </c>
      <c r="J84">
        <v>5.99</v>
      </c>
      <c r="K84" s="3">
        <v>21.88</v>
      </c>
      <c r="L84">
        <v>13.935</v>
      </c>
    </row>
    <row r="85" spans="1:12" x14ac:dyDescent="0.25">
      <c r="A85" t="s">
        <v>30</v>
      </c>
      <c r="B85" t="s">
        <v>256</v>
      </c>
      <c r="C85" s="3">
        <v>42333</v>
      </c>
      <c r="D85" t="s">
        <v>44</v>
      </c>
      <c r="E85" t="s">
        <v>202</v>
      </c>
      <c r="F85">
        <v>4800</v>
      </c>
      <c r="G85">
        <v>20.14</v>
      </c>
      <c r="H85">
        <v>32.6</v>
      </c>
      <c r="I85">
        <v>10.5</v>
      </c>
      <c r="J85">
        <v>13.52</v>
      </c>
      <c r="K85" s="3">
        <v>26.75</v>
      </c>
      <c r="L85">
        <v>20.135000000000002</v>
      </c>
    </row>
    <row r="86" spans="1:12" x14ac:dyDescent="0.25">
      <c r="A86" t="s">
        <v>31</v>
      </c>
      <c r="B86" t="s">
        <v>120</v>
      </c>
      <c r="C86" s="3">
        <v>42333</v>
      </c>
      <c r="D86" t="s">
        <v>108</v>
      </c>
      <c r="E86" t="s">
        <v>46</v>
      </c>
      <c r="F86">
        <v>6500</v>
      </c>
      <c r="G86">
        <v>29.22</v>
      </c>
      <c r="H86">
        <v>43.7</v>
      </c>
      <c r="I86">
        <v>16.899999999999999</v>
      </c>
      <c r="J86">
        <v>22.12</v>
      </c>
      <c r="K86" s="3">
        <v>36.33</v>
      </c>
      <c r="L86">
        <v>29.225000000000001</v>
      </c>
    </row>
    <row r="87" spans="1:12" x14ac:dyDescent="0.25">
      <c r="A87" t="s">
        <v>27</v>
      </c>
      <c r="B87" t="s">
        <v>257</v>
      </c>
      <c r="C87" s="3">
        <v>42333</v>
      </c>
      <c r="D87" t="s">
        <v>202</v>
      </c>
      <c r="E87" t="s">
        <v>44</v>
      </c>
      <c r="F87">
        <v>3500</v>
      </c>
      <c r="G87">
        <v>3.7</v>
      </c>
      <c r="H87">
        <v>6.4</v>
      </c>
      <c r="I87">
        <v>1</v>
      </c>
      <c r="J87">
        <v>1</v>
      </c>
      <c r="K87" s="3">
        <v>6.4</v>
      </c>
      <c r="L87">
        <v>3.7</v>
      </c>
    </row>
    <row r="88" spans="1:12" x14ac:dyDescent="0.25">
      <c r="A88" t="s">
        <v>31</v>
      </c>
      <c r="B88" t="s">
        <v>121</v>
      </c>
      <c r="C88" s="3">
        <v>42333</v>
      </c>
      <c r="D88" t="s">
        <v>105</v>
      </c>
      <c r="E88" t="s">
        <v>34</v>
      </c>
      <c r="F88">
        <v>3500</v>
      </c>
      <c r="G88">
        <v>10.65</v>
      </c>
      <c r="H88">
        <v>29.2</v>
      </c>
      <c r="I88">
        <v>-1</v>
      </c>
      <c r="J88">
        <v>1.1399999999999999</v>
      </c>
      <c r="K88" s="3">
        <v>20.16</v>
      </c>
      <c r="L88">
        <v>10.65</v>
      </c>
    </row>
    <row r="89" spans="1:12" x14ac:dyDescent="0.25">
      <c r="A89" t="s">
        <v>28</v>
      </c>
      <c r="B89" t="s">
        <v>258</v>
      </c>
      <c r="C89" s="3">
        <v>42333</v>
      </c>
      <c r="D89" t="s">
        <v>219</v>
      </c>
      <c r="E89" t="s">
        <v>107</v>
      </c>
      <c r="F89">
        <v>8100</v>
      </c>
      <c r="G89">
        <v>34.880000000000003</v>
      </c>
      <c r="H89">
        <v>50.9</v>
      </c>
      <c r="I89">
        <v>20.399999999999999</v>
      </c>
      <c r="J89">
        <v>25.07</v>
      </c>
      <c r="K89" s="3">
        <v>44.68</v>
      </c>
      <c r="L89">
        <v>34.875</v>
      </c>
    </row>
    <row r="90" spans="1:12" x14ac:dyDescent="0.25">
      <c r="A90" t="s">
        <v>31</v>
      </c>
      <c r="B90" t="s">
        <v>122</v>
      </c>
      <c r="C90" s="3">
        <v>42333</v>
      </c>
      <c r="D90" t="s">
        <v>108</v>
      </c>
      <c r="E90" t="s">
        <v>46</v>
      </c>
      <c r="F90">
        <v>4600</v>
      </c>
      <c r="G90">
        <v>22.57</v>
      </c>
      <c r="H90">
        <v>31.3</v>
      </c>
      <c r="I90">
        <v>15.7</v>
      </c>
      <c r="J90">
        <v>17.079999999999998</v>
      </c>
      <c r="K90" s="3">
        <v>28.07</v>
      </c>
      <c r="L90">
        <v>22.574999999999999</v>
      </c>
    </row>
    <row r="91" spans="1:12" x14ac:dyDescent="0.25">
      <c r="A91" t="s">
        <v>30</v>
      </c>
      <c r="B91" t="s">
        <v>259</v>
      </c>
      <c r="C91" s="3">
        <v>42333</v>
      </c>
      <c r="D91" t="s">
        <v>33</v>
      </c>
      <c r="E91" t="s">
        <v>35</v>
      </c>
      <c r="F91">
        <v>7200</v>
      </c>
      <c r="G91">
        <v>30.73</v>
      </c>
      <c r="H91">
        <v>48.4</v>
      </c>
      <c r="I91">
        <v>18.399999999999999</v>
      </c>
      <c r="J91">
        <v>21.62</v>
      </c>
      <c r="K91" s="3">
        <v>39.85</v>
      </c>
      <c r="L91">
        <v>30.734999999999999</v>
      </c>
    </row>
    <row r="92" spans="1:12" x14ac:dyDescent="0.25">
      <c r="A92" t="s">
        <v>27</v>
      </c>
      <c r="B92" t="s">
        <v>260</v>
      </c>
      <c r="C92" s="3">
        <v>42333</v>
      </c>
      <c r="D92" t="s">
        <v>39</v>
      </c>
      <c r="E92" t="s">
        <v>47</v>
      </c>
      <c r="F92">
        <v>6500</v>
      </c>
      <c r="G92">
        <v>24.79</v>
      </c>
      <c r="H92">
        <v>48.4</v>
      </c>
      <c r="I92">
        <v>3.4</v>
      </c>
      <c r="J92">
        <v>13.51</v>
      </c>
      <c r="K92" s="3">
        <v>36.08</v>
      </c>
      <c r="L92">
        <v>24.795000000000002</v>
      </c>
    </row>
    <row r="93" spans="1:12" x14ac:dyDescent="0.25">
      <c r="A93" t="s">
        <v>29</v>
      </c>
      <c r="B93" t="s">
        <v>261</v>
      </c>
      <c r="C93" s="3">
        <v>42333</v>
      </c>
      <c r="D93" t="s">
        <v>43</v>
      </c>
      <c r="E93" t="s">
        <v>102</v>
      </c>
      <c r="F93">
        <v>3500</v>
      </c>
      <c r="G93">
        <v>5.13</v>
      </c>
      <c r="H93">
        <v>16.3</v>
      </c>
      <c r="I93">
        <v>1</v>
      </c>
      <c r="J93">
        <v>0.02</v>
      </c>
      <c r="K93" s="3">
        <v>10.25</v>
      </c>
      <c r="L93">
        <v>5.1349999999999998</v>
      </c>
    </row>
    <row r="94" spans="1:12" x14ac:dyDescent="0.25">
      <c r="A94" t="s">
        <v>28</v>
      </c>
      <c r="B94" t="s">
        <v>262</v>
      </c>
      <c r="C94" s="3">
        <v>42333</v>
      </c>
      <c r="D94" t="s">
        <v>44</v>
      </c>
      <c r="E94" t="s">
        <v>202</v>
      </c>
      <c r="F94">
        <v>5900</v>
      </c>
      <c r="G94">
        <v>24.14</v>
      </c>
      <c r="H94">
        <v>39.799999999999997</v>
      </c>
      <c r="I94">
        <v>12.5</v>
      </c>
      <c r="J94">
        <v>17.329999999999998</v>
      </c>
      <c r="K94" s="3">
        <v>30.95</v>
      </c>
      <c r="L94">
        <v>24.14</v>
      </c>
    </row>
    <row r="95" spans="1:12" x14ac:dyDescent="0.25">
      <c r="A95" t="s">
        <v>30</v>
      </c>
      <c r="B95" t="s">
        <v>263</v>
      </c>
      <c r="C95" s="3">
        <v>42333</v>
      </c>
      <c r="D95" t="s">
        <v>45</v>
      </c>
      <c r="E95" t="s">
        <v>193</v>
      </c>
      <c r="F95">
        <v>8500</v>
      </c>
      <c r="G95">
        <v>38.270000000000003</v>
      </c>
      <c r="H95">
        <v>55.6</v>
      </c>
      <c r="I95">
        <v>21.8</v>
      </c>
      <c r="J95">
        <v>28.9</v>
      </c>
      <c r="K95" s="3">
        <v>47.64</v>
      </c>
      <c r="L95">
        <v>38.270000000000003</v>
      </c>
    </row>
    <row r="96" spans="1:12" x14ac:dyDescent="0.25">
      <c r="A96" t="s">
        <v>30</v>
      </c>
      <c r="B96" t="s">
        <v>264</v>
      </c>
      <c r="C96" s="3">
        <v>42333</v>
      </c>
      <c r="D96" t="s">
        <v>193</v>
      </c>
      <c r="E96" t="s">
        <v>45</v>
      </c>
      <c r="F96">
        <v>6100</v>
      </c>
      <c r="G96">
        <v>27.71</v>
      </c>
      <c r="H96">
        <v>36.1</v>
      </c>
      <c r="I96">
        <v>16.399999999999999</v>
      </c>
      <c r="J96">
        <v>21.51</v>
      </c>
      <c r="K96" s="3">
        <v>33.9</v>
      </c>
      <c r="L96">
        <v>27.704999999999998</v>
      </c>
    </row>
    <row r="97" spans="1:12" x14ac:dyDescent="0.25">
      <c r="A97" t="s">
        <v>31</v>
      </c>
      <c r="B97" t="s">
        <v>265</v>
      </c>
      <c r="C97" s="3">
        <v>42333</v>
      </c>
      <c r="D97" t="s">
        <v>32</v>
      </c>
      <c r="E97" t="s">
        <v>48</v>
      </c>
      <c r="F97">
        <v>3500</v>
      </c>
      <c r="G97">
        <v>2.5299999999999998</v>
      </c>
      <c r="H97">
        <v>5.2</v>
      </c>
      <c r="I97">
        <v>1.2</v>
      </c>
      <c r="J97">
        <v>0.65</v>
      </c>
      <c r="K97" s="3">
        <v>4.42</v>
      </c>
      <c r="L97">
        <v>2.5350000000000001</v>
      </c>
    </row>
    <row r="98" spans="1:12" x14ac:dyDescent="0.25">
      <c r="A98" t="s">
        <v>31</v>
      </c>
      <c r="B98" t="s">
        <v>266</v>
      </c>
      <c r="C98" s="3">
        <v>42333</v>
      </c>
      <c r="D98" t="s">
        <v>35</v>
      </c>
      <c r="E98" t="s">
        <v>33</v>
      </c>
      <c r="F98">
        <v>4300</v>
      </c>
      <c r="G98">
        <v>16.600000000000001</v>
      </c>
      <c r="H98">
        <v>32.200000000000003</v>
      </c>
      <c r="I98">
        <v>6.9</v>
      </c>
      <c r="J98">
        <v>8.6999999999999993</v>
      </c>
      <c r="K98" s="3">
        <v>24.5</v>
      </c>
      <c r="L98">
        <v>16.600000000000001</v>
      </c>
    </row>
    <row r="99" spans="1:12" x14ac:dyDescent="0.25">
      <c r="A99" t="s">
        <v>30</v>
      </c>
      <c r="B99" t="s">
        <v>267</v>
      </c>
      <c r="C99" s="3">
        <v>42333</v>
      </c>
      <c r="D99" t="s">
        <v>39</v>
      </c>
      <c r="E99" t="s">
        <v>47</v>
      </c>
      <c r="F99">
        <v>5900</v>
      </c>
      <c r="G99">
        <v>28.76</v>
      </c>
      <c r="H99">
        <v>44</v>
      </c>
      <c r="I99">
        <v>12.3</v>
      </c>
      <c r="J99">
        <v>18.75</v>
      </c>
      <c r="K99" s="3">
        <v>38.770000000000003</v>
      </c>
      <c r="L99">
        <v>28.76</v>
      </c>
    </row>
    <row r="100" spans="1:12" x14ac:dyDescent="0.25">
      <c r="A100" t="s">
        <v>29</v>
      </c>
      <c r="B100" t="s">
        <v>123</v>
      </c>
      <c r="C100" s="3">
        <v>42333</v>
      </c>
      <c r="D100" t="s">
        <v>99</v>
      </c>
      <c r="E100" t="s">
        <v>42</v>
      </c>
      <c r="F100">
        <v>5400</v>
      </c>
      <c r="G100">
        <v>21.1</v>
      </c>
      <c r="H100">
        <v>35</v>
      </c>
      <c r="I100">
        <v>10.3</v>
      </c>
      <c r="J100">
        <v>12.59</v>
      </c>
      <c r="K100" s="3">
        <v>29.61</v>
      </c>
      <c r="L100">
        <v>21.1</v>
      </c>
    </row>
    <row r="101" spans="1:12" x14ac:dyDescent="0.25">
      <c r="A101" t="s">
        <v>31</v>
      </c>
      <c r="B101" t="s">
        <v>268</v>
      </c>
      <c r="C101" s="3">
        <v>42333</v>
      </c>
      <c r="D101" t="s">
        <v>34</v>
      </c>
      <c r="E101" t="s">
        <v>105</v>
      </c>
      <c r="F101">
        <v>3700</v>
      </c>
      <c r="G101">
        <v>11.01</v>
      </c>
      <c r="H101">
        <v>21.1</v>
      </c>
      <c r="I101">
        <v>-1</v>
      </c>
      <c r="J101">
        <v>4.5</v>
      </c>
      <c r="K101" s="3">
        <v>17.510000000000002</v>
      </c>
      <c r="L101">
        <v>11.005000000000001</v>
      </c>
    </row>
    <row r="102" spans="1:12" x14ac:dyDescent="0.25">
      <c r="A102" t="s">
        <v>27</v>
      </c>
      <c r="B102" t="s">
        <v>124</v>
      </c>
      <c r="C102" s="3">
        <v>42333</v>
      </c>
      <c r="D102" t="s">
        <v>105</v>
      </c>
      <c r="E102" t="s">
        <v>34</v>
      </c>
      <c r="F102">
        <v>3600</v>
      </c>
      <c r="G102">
        <v>11.88</v>
      </c>
      <c r="H102">
        <v>26.6</v>
      </c>
      <c r="I102">
        <v>1</v>
      </c>
      <c r="J102">
        <v>3.39</v>
      </c>
      <c r="K102" s="3">
        <v>20.36</v>
      </c>
      <c r="L102">
        <v>11.875</v>
      </c>
    </row>
    <row r="103" spans="1:12" x14ac:dyDescent="0.25">
      <c r="A103" t="s">
        <v>30</v>
      </c>
      <c r="B103" t="s">
        <v>125</v>
      </c>
      <c r="C103" s="3">
        <v>42333</v>
      </c>
      <c r="D103" t="s">
        <v>105</v>
      </c>
      <c r="E103" t="s">
        <v>34</v>
      </c>
      <c r="F103">
        <v>3500</v>
      </c>
      <c r="G103">
        <v>12.62</v>
      </c>
      <c r="H103">
        <v>25.6</v>
      </c>
      <c r="I103">
        <v>1.2</v>
      </c>
      <c r="J103">
        <v>5.92</v>
      </c>
      <c r="K103" s="3">
        <v>19.32</v>
      </c>
      <c r="L103">
        <v>12.62</v>
      </c>
    </row>
    <row r="104" spans="1:12" x14ac:dyDescent="0.25">
      <c r="A104" t="s">
        <v>30</v>
      </c>
      <c r="B104" t="s">
        <v>269</v>
      </c>
      <c r="C104" s="3">
        <v>42333</v>
      </c>
      <c r="D104" t="s">
        <v>33</v>
      </c>
      <c r="E104" t="s">
        <v>35</v>
      </c>
      <c r="F104">
        <v>3500</v>
      </c>
      <c r="G104">
        <v>11.01</v>
      </c>
      <c r="H104">
        <v>19.7</v>
      </c>
      <c r="I104">
        <v>5.2</v>
      </c>
      <c r="J104">
        <v>6.31</v>
      </c>
      <c r="K104" s="3">
        <v>15.72</v>
      </c>
      <c r="L104">
        <v>11.015000000000001</v>
      </c>
    </row>
    <row r="105" spans="1:12" x14ac:dyDescent="0.25">
      <c r="A105" t="s">
        <v>30</v>
      </c>
      <c r="B105" t="s">
        <v>270</v>
      </c>
      <c r="C105" s="3">
        <v>42333</v>
      </c>
      <c r="D105" t="s">
        <v>48</v>
      </c>
      <c r="E105" t="s">
        <v>32</v>
      </c>
      <c r="F105">
        <v>7000</v>
      </c>
      <c r="G105">
        <v>31.09</v>
      </c>
      <c r="H105">
        <v>46</v>
      </c>
      <c r="I105">
        <v>19.600000000000001</v>
      </c>
      <c r="J105">
        <v>23.64</v>
      </c>
      <c r="K105" s="3">
        <v>38.54</v>
      </c>
      <c r="L105">
        <v>31.09</v>
      </c>
    </row>
    <row r="106" spans="1:12" x14ac:dyDescent="0.25">
      <c r="A106" t="s">
        <v>27</v>
      </c>
      <c r="B106" t="s">
        <v>271</v>
      </c>
      <c r="C106" s="3">
        <v>42333</v>
      </c>
      <c r="D106" t="s">
        <v>33</v>
      </c>
      <c r="E106" t="s">
        <v>35</v>
      </c>
      <c r="F106">
        <v>5700</v>
      </c>
      <c r="G106">
        <v>21.94</v>
      </c>
      <c r="H106">
        <v>34.299999999999997</v>
      </c>
      <c r="I106">
        <v>6.9</v>
      </c>
      <c r="J106">
        <v>14.43</v>
      </c>
      <c r="K106" s="3">
        <v>29.44</v>
      </c>
      <c r="L106">
        <v>21.934999999999999</v>
      </c>
    </row>
    <row r="107" spans="1:12" x14ac:dyDescent="0.25">
      <c r="A107" t="s">
        <v>29</v>
      </c>
      <c r="B107" t="s">
        <v>272</v>
      </c>
      <c r="C107" s="3">
        <v>42333</v>
      </c>
      <c r="D107" t="s">
        <v>43</v>
      </c>
      <c r="E107" t="s">
        <v>102</v>
      </c>
      <c r="F107">
        <v>6600</v>
      </c>
      <c r="G107">
        <v>27.53</v>
      </c>
      <c r="H107">
        <v>39.700000000000003</v>
      </c>
      <c r="I107">
        <v>14.5</v>
      </c>
      <c r="J107">
        <v>20.8</v>
      </c>
      <c r="K107" s="3">
        <v>34.26</v>
      </c>
      <c r="L107">
        <v>27.53</v>
      </c>
    </row>
    <row r="108" spans="1:12" x14ac:dyDescent="0.25">
      <c r="A108" t="s">
        <v>28</v>
      </c>
      <c r="B108" t="s">
        <v>273</v>
      </c>
      <c r="C108" s="3">
        <v>42333</v>
      </c>
      <c r="D108" t="s">
        <v>41</v>
      </c>
      <c r="E108" t="s">
        <v>98</v>
      </c>
      <c r="F108">
        <v>4100</v>
      </c>
      <c r="G108">
        <v>15.89</v>
      </c>
      <c r="H108">
        <v>29.9</v>
      </c>
      <c r="I108">
        <v>4.2</v>
      </c>
      <c r="J108">
        <v>9.66</v>
      </c>
      <c r="K108" s="3">
        <v>22.13</v>
      </c>
      <c r="L108">
        <v>15.895</v>
      </c>
    </row>
    <row r="109" spans="1:12" x14ac:dyDescent="0.25">
      <c r="A109" t="s">
        <v>28</v>
      </c>
      <c r="B109" t="s">
        <v>274</v>
      </c>
      <c r="C109" s="3">
        <v>42333</v>
      </c>
      <c r="D109" t="s">
        <v>48</v>
      </c>
      <c r="E109" t="s">
        <v>32</v>
      </c>
      <c r="F109">
        <v>7800</v>
      </c>
      <c r="G109">
        <v>35.24</v>
      </c>
      <c r="H109">
        <v>52.8</v>
      </c>
      <c r="I109">
        <v>15</v>
      </c>
      <c r="J109">
        <v>26.16</v>
      </c>
      <c r="K109" s="3">
        <v>44.33</v>
      </c>
      <c r="L109">
        <v>35.244999999999997</v>
      </c>
    </row>
    <row r="110" spans="1:12" x14ac:dyDescent="0.25">
      <c r="A110" t="s">
        <v>27</v>
      </c>
      <c r="B110" t="s">
        <v>275</v>
      </c>
      <c r="C110" s="3">
        <v>42333</v>
      </c>
      <c r="D110" t="s">
        <v>48</v>
      </c>
      <c r="E110" t="s">
        <v>32</v>
      </c>
      <c r="F110">
        <v>3800</v>
      </c>
      <c r="G110">
        <v>15.99</v>
      </c>
      <c r="H110">
        <v>30.9</v>
      </c>
      <c r="I110">
        <v>3.2</v>
      </c>
      <c r="J110">
        <v>7.72</v>
      </c>
      <c r="K110" s="3">
        <v>24.25</v>
      </c>
      <c r="L110">
        <v>15.984999999999999</v>
      </c>
    </row>
    <row r="111" spans="1:12" x14ac:dyDescent="0.25">
      <c r="A111" t="s">
        <v>28</v>
      </c>
      <c r="B111" t="s">
        <v>276</v>
      </c>
      <c r="C111" s="3">
        <v>42333</v>
      </c>
      <c r="D111" t="s">
        <v>33</v>
      </c>
      <c r="E111" t="s">
        <v>35</v>
      </c>
      <c r="F111">
        <v>8500</v>
      </c>
      <c r="G111">
        <v>37.369999999999997</v>
      </c>
      <c r="H111">
        <v>54.8</v>
      </c>
      <c r="I111">
        <v>13.2</v>
      </c>
      <c r="J111">
        <v>26.43</v>
      </c>
      <c r="K111" s="3">
        <v>48.31</v>
      </c>
      <c r="L111">
        <v>37.369999999999997</v>
      </c>
    </row>
    <row r="112" spans="1:12" x14ac:dyDescent="0.25">
      <c r="A112" t="s">
        <v>29</v>
      </c>
      <c r="B112" t="s">
        <v>277</v>
      </c>
      <c r="C112" s="3">
        <v>42333</v>
      </c>
      <c r="D112" t="s">
        <v>42</v>
      </c>
      <c r="E112" t="s">
        <v>99</v>
      </c>
      <c r="F112">
        <v>3800</v>
      </c>
      <c r="G112">
        <v>16.37</v>
      </c>
      <c r="H112">
        <v>26.2</v>
      </c>
      <c r="I112">
        <v>7.3</v>
      </c>
      <c r="J112">
        <v>10.37</v>
      </c>
      <c r="K112" s="3">
        <v>22.36</v>
      </c>
      <c r="L112">
        <v>16.364999999999998</v>
      </c>
    </row>
    <row r="113" spans="1:12" x14ac:dyDescent="0.25">
      <c r="A113" t="s">
        <v>27</v>
      </c>
      <c r="B113" t="s">
        <v>278</v>
      </c>
      <c r="C113" s="3">
        <v>42333</v>
      </c>
      <c r="D113" t="s">
        <v>42</v>
      </c>
      <c r="E113" t="s">
        <v>99</v>
      </c>
      <c r="F113">
        <v>4100</v>
      </c>
      <c r="G113">
        <v>16.440000000000001</v>
      </c>
      <c r="H113">
        <v>35.1</v>
      </c>
      <c r="I113">
        <v>4</v>
      </c>
      <c r="J113">
        <v>8</v>
      </c>
      <c r="K113" s="3">
        <v>24.88</v>
      </c>
      <c r="L113">
        <v>16.440000000000001</v>
      </c>
    </row>
    <row r="114" spans="1:12" x14ac:dyDescent="0.25">
      <c r="A114" t="s">
        <v>27</v>
      </c>
      <c r="B114" t="s">
        <v>126</v>
      </c>
      <c r="C114" s="3">
        <v>42333</v>
      </c>
      <c r="D114" t="s">
        <v>99</v>
      </c>
      <c r="E114" t="s">
        <v>42</v>
      </c>
      <c r="F114">
        <v>7600</v>
      </c>
      <c r="G114">
        <v>32.28</v>
      </c>
      <c r="H114">
        <v>46</v>
      </c>
      <c r="I114">
        <v>18</v>
      </c>
      <c r="J114">
        <v>23.9</v>
      </c>
      <c r="K114" s="3">
        <v>40.65</v>
      </c>
      <c r="L114">
        <v>32.274999999999999</v>
      </c>
    </row>
    <row r="115" spans="1:12" x14ac:dyDescent="0.25">
      <c r="A115" t="s">
        <v>27</v>
      </c>
      <c r="B115" t="s">
        <v>279</v>
      </c>
      <c r="C115" s="3">
        <v>42333</v>
      </c>
      <c r="D115" t="s">
        <v>193</v>
      </c>
      <c r="E115" t="s">
        <v>45</v>
      </c>
      <c r="F115">
        <v>6300</v>
      </c>
      <c r="G115">
        <v>28.69</v>
      </c>
      <c r="H115">
        <v>45.8</v>
      </c>
      <c r="I115">
        <v>7.9</v>
      </c>
      <c r="J115">
        <v>17.510000000000002</v>
      </c>
      <c r="K115" s="3">
        <v>39.869999999999997</v>
      </c>
      <c r="L115">
        <v>28.69</v>
      </c>
    </row>
    <row r="116" spans="1:12" x14ac:dyDescent="0.25">
      <c r="A116" t="s">
        <v>27</v>
      </c>
      <c r="B116" t="s">
        <v>127</v>
      </c>
      <c r="C116" s="3">
        <v>42333</v>
      </c>
      <c r="D116" t="s">
        <v>108</v>
      </c>
      <c r="E116" t="s">
        <v>46</v>
      </c>
      <c r="F116">
        <v>3700</v>
      </c>
      <c r="G116">
        <v>16.239999999999998</v>
      </c>
      <c r="H116">
        <v>26.6</v>
      </c>
      <c r="I116">
        <v>-0.8</v>
      </c>
      <c r="J116">
        <v>9.51</v>
      </c>
      <c r="K116" s="3">
        <v>22.97</v>
      </c>
      <c r="L116">
        <v>16.239999999999998</v>
      </c>
    </row>
    <row r="117" spans="1:12" x14ac:dyDescent="0.25">
      <c r="A117" t="s">
        <v>30</v>
      </c>
      <c r="B117" t="s">
        <v>128</v>
      </c>
      <c r="C117" s="3">
        <v>42333</v>
      </c>
      <c r="D117" t="s">
        <v>102</v>
      </c>
      <c r="E117" t="s">
        <v>43</v>
      </c>
      <c r="F117">
        <v>4500</v>
      </c>
      <c r="G117">
        <v>18.39</v>
      </c>
      <c r="H117">
        <v>28</v>
      </c>
      <c r="I117">
        <v>12</v>
      </c>
      <c r="J117">
        <v>13.89</v>
      </c>
      <c r="K117" s="3">
        <v>22.89</v>
      </c>
      <c r="L117">
        <v>18.39</v>
      </c>
    </row>
    <row r="118" spans="1:12" x14ac:dyDescent="0.25">
      <c r="A118" t="s">
        <v>30</v>
      </c>
      <c r="B118" t="s">
        <v>280</v>
      </c>
      <c r="C118" s="3">
        <v>42333</v>
      </c>
      <c r="D118" t="s">
        <v>40</v>
      </c>
      <c r="E118" t="s">
        <v>198</v>
      </c>
      <c r="F118">
        <v>5300</v>
      </c>
      <c r="G118">
        <v>18.48</v>
      </c>
      <c r="H118">
        <v>32</v>
      </c>
      <c r="I118">
        <v>-2</v>
      </c>
      <c r="J118">
        <v>8.3000000000000007</v>
      </c>
      <c r="K118" s="3">
        <v>28.66</v>
      </c>
      <c r="L118">
        <v>18.48</v>
      </c>
    </row>
    <row r="119" spans="1:12" x14ac:dyDescent="0.25">
      <c r="A119" t="s">
        <v>31</v>
      </c>
      <c r="B119" t="s">
        <v>281</v>
      </c>
      <c r="C119" s="3">
        <v>42333</v>
      </c>
      <c r="D119" t="s">
        <v>48</v>
      </c>
      <c r="E119" t="s">
        <v>32</v>
      </c>
      <c r="F119">
        <v>5300</v>
      </c>
      <c r="G119">
        <v>15.21</v>
      </c>
      <c r="H119">
        <v>23.1</v>
      </c>
      <c r="I119">
        <v>7.7</v>
      </c>
      <c r="J119">
        <v>9.59</v>
      </c>
      <c r="K119" s="3">
        <v>20.84</v>
      </c>
      <c r="L119">
        <v>15.215</v>
      </c>
    </row>
    <row r="120" spans="1:12" x14ac:dyDescent="0.25">
      <c r="A120" t="s">
        <v>29</v>
      </c>
      <c r="B120" t="s">
        <v>129</v>
      </c>
      <c r="C120" s="3">
        <v>42333</v>
      </c>
      <c r="D120" t="s">
        <v>99</v>
      </c>
      <c r="E120" t="s">
        <v>42</v>
      </c>
      <c r="F120">
        <v>5100</v>
      </c>
      <c r="G120">
        <v>23.79</v>
      </c>
      <c r="H120">
        <v>38</v>
      </c>
      <c r="I120">
        <v>8.4</v>
      </c>
      <c r="J120">
        <v>15.82</v>
      </c>
      <c r="K120" s="3">
        <v>31.77</v>
      </c>
      <c r="L120">
        <v>23.795000000000002</v>
      </c>
    </row>
    <row r="121" spans="1:12" x14ac:dyDescent="0.25">
      <c r="A121" t="s">
        <v>28</v>
      </c>
      <c r="B121" t="s">
        <v>282</v>
      </c>
      <c r="C121" s="3">
        <v>42333</v>
      </c>
      <c r="D121" t="s">
        <v>42</v>
      </c>
      <c r="E121" t="s">
        <v>99</v>
      </c>
      <c r="F121">
        <v>6600</v>
      </c>
      <c r="G121">
        <v>30.7</v>
      </c>
      <c r="H121">
        <v>43.5</v>
      </c>
      <c r="I121">
        <v>18.2</v>
      </c>
      <c r="J121">
        <v>22.21</v>
      </c>
      <c r="K121" s="3">
        <v>39.19</v>
      </c>
      <c r="L121">
        <v>30.7</v>
      </c>
    </row>
    <row r="122" spans="1:12" x14ac:dyDescent="0.25">
      <c r="A122" t="s">
        <v>29</v>
      </c>
      <c r="B122" t="s">
        <v>283</v>
      </c>
      <c r="C122" s="3">
        <v>42333</v>
      </c>
      <c r="D122" t="s">
        <v>42</v>
      </c>
      <c r="E122" t="s">
        <v>99</v>
      </c>
      <c r="F122">
        <v>3500</v>
      </c>
      <c r="G122">
        <v>9.0299999999999994</v>
      </c>
      <c r="H122">
        <v>18.2</v>
      </c>
      <c r="I122">
        <v>1</v>
      </c>
      <c r="J122">
        <v>3.88</v>
      </c>
      <c r="K122" s="3">
        <v>14.18</v>
      </c>
      <c r="L122">
        <v>9.0299999999999994</v>
      </c>
    </row>
    <row r="123" spans="1:12" x14ac:dyDescent="0.25">
      <c r="A123" t="s">
        <v>30</v>
      </c>
      <c r="B123" t="s">
        <v>130</v>
      </c>
      <c r="C123" s="3">
        <v>42333</v>
      </c>
      <c r="D123" t="s">
        <v>102</v>
      </c>
      <c r="E123" t="s">
        <v>43</v>
      </c>
      <c r="F123">
        <v>4600</v>
      </c>
      <c r="G123">
        <v>19.53</v>
      </c>
      <c r="H123">
        <v>55.2</v>
      </c>
      <c r="I123">
        <v>7</v>
      </c>
      <c r="J123">
        <v>8.43</v>
      </c>
      <c r="K123" s="3">
        <v>30.63</v>
      </c>
      <c r="L123">
        <v>19.53</v>
      </c>
    </row>
    <row r="124" spans="1:12" x14ac:dyDescent="0.25">
      <c r="A124" t="s">
        <v>30</v>
      </c>
      <c r="B124" t="s">
        <v>284</v>
      </c>
      <c r="C124" s="3">
        <v>42333</v>
      </c>
      <c r="D124" t="s">
        <v>32</v>
      </c>
      <c r="E124" t="s">
        <v>48</v>
      </c>
      <c r="F124">
        <v>3500</v>
      </c>
      <c r="G124">
        <v>6.56</v>
      </c>
      <c r="H124">
        <v>19</v>
      </c>
      <c r="I124">
        <v>1</v>
      </c>
      <c r="J124">
        <v>0.84</v>
      </c>
      <c r="K124" s="3">
        <v>12.27</v>
      </c>
      <c r="L124">
        <v>6.5549999999999997</v>
      </c>
    </row>
    <row r="125" spans="1:12" x14ac:dyDescent="0.25">
      <c r="A125" t="s">
        <v>29</v>
      </c>
      <c r="B125" t="s">
        <v>131</v>
      </c>
      <c r="C125" s="3">
        <v>42333</v>
      </c>
      <c r="D125" t="s">
        <v>107</v>
      </c>
      <c r="E125" t="s">
        <v>219</v>
      </c>
      <c r="F125">
        <v>3500</v>
      </c>
      <c r="G125">
        <v>1.57</v>
      </c>
      <c r="H125">
        <v>2</v>
      </c>
      <c r="I125">
        <v>1.2</v>
      </c>
      <c r="J125">
        <v>1.24</v>
      </c>
      <c r="K125" s="3">
        <v>1.9</v>
      </c>
      <c r="L125">
        <v>1.57</v>
      </c>
    </row>
    <row r="126" spans="1:12" x14ac:dyDescent="0.25">
      <c r="A126" t="s">
        <v>30</v>
      </c>
      <c r="B126" t="s">
        <v>285</v>
      </c>
      <c r="C126" s="3">
        <v>42333</v>
      </c>
      <c r="D126" t="s">
        <v>219</v>
      </c>
      <c r="E126" t="s">
        <v>107</v>
      </c>
      <c r="F126">
        <v>10400</v>
      </c>
      <c r="G126">
        <v>46.24</v>
      </c>
      <c r="H126">
        <v>78.099999999999994</v>
      </c>
      <c r="I126">
        <v>17.7</v>
      </c>
      <c r="J126">
        <v>31.74</v>
      </c>
      <c r="K126" s="3">
        <v>60.75</v>
      </c>
      <c r="L126">
        <v>46.244999999999997</v>
      </c>
    </row>
    <row r="127" spans="1:12" x14ac:dyDescent="0.25">
      <c r="A127" t="s">
        <v>29</v>
      </c>
      <c r="B127" t="s">
        <v>286</v>
      </c>
      <c r="C127" s="3">
        <v>42333</v>
      </c>
      <c r="D127" t="s">
        <v>198</v>
      </c>
      <c r="E127" t="s">
        <v>40</v>
      </c>
      <c r="F127">
        <v>3500</v>
      </c>
      <c r="G127">
        <v>9.64</v>
      </c>
      <c r="H127">
        <v>21.1</v>
      </c>
      <c r="I127">
        <v>-1</v>
      </c>
      <c r="J127">
        <v>1.79</v>
      </c>
      <c r="K127" s="3">
        <v>17.5</v>
      </c>
      <c r="L127">
        <v>9.6449999999999996</v>
      </c>
    </row>
    <row r="128" spans="1:12" x14ac:dyDescent="0.25">
      <c r="A128" t="s">
        <v>29</v>
      </c>
      <c r="B128" t="s">
        <v>287</v>
      </c>
      <c r="C128" s="3">
        <v>42333</v>
      </c>
      <c r="D128" t="s">
        <v>40</v>
      </c>
      <c r="E128" t="s">
        <v>198</v>
      </c>
      <c r="F128">
        <v>3500</v>
      </c>
      <c r="G128">
        <v>6.09</v>
      </c>
      <c r="H128">
        <v>13.2</v>
      </c>
      <c r="I128">
        <v>-1</v>
      </c>
      <c r="J128">
        <v>1.44</v>
      </c>
      <c r="K128" s="3">
        <v>10.75</v>
      </c>
      <c r="L128">
        <v>6.0949999999999998</v>
      </c>
    </row>
    <row r="129" spans="1:12" x14ac:dyDescent="0.25">
      <c r="A129" t="s">
        <v>29</v>
      </c>
      <c r="B129" t="s">
        <v>288</v>
      </c>
      <c r="C129" s="3">
        <v>42333</v>
      </c>
      <c r="D129" t="s">
        <v>99</v>
      </c>
      <c r="E129" t="s">
        <v>42</v>
      </c>
      <c r="F129">
        <v>3500</v>
      </c>
      <c r="G129">
        <v>5</v>
      </c>
      <c r="H129">
        <v>5</v>
      </c>
      <c r="I129">
        <v>5</v>
      </c>
      <c r="J129">
        <v>5</v>
      </c>
      <c r="K129" s="3">
        <v>5</v>
      </c>
      <c r="L129">
        <v>5</v>
      </c>
    </row>
    <row r="130" spans="1:12" x14ac:dyDescent="0.25">
      <c r="A130" t="s">
        <v>31</v>
      </c>
      <c r="B130" t="s">
        <v>132</v>
      </c>
      <c r="C130" s="3">
        <v>42333</v>
      </c>
      <c r="D130" t="s">
        <v>107</v>
      </c>
      <c r="E130" t="s">
        <v>219</v>
      </c>
      <c r="F130">
        <v>3600</v>
      </c>
      <c r="G130">
        <v>14.43</v>
      </c>
      <c r="H130">
        <v>25.4</v>
      </c>
      <c r="I130">
        <v>5.9</v>
      </c>
      <c r="J130">
        <v>8.35</v>
      </c>
      <c r="K130" s="3">
        <v>20.51</v>
      </c>
      <c r="L130">
        <v>14.43</v>
      </c>
    </row>
    <row r="131" spans="1:12" x14ac:dyDescent="0.25">
      <c r="A131" t="s">
        <v>30</v>
      </c>
      <c r="B131" t="s">
        <v>289</v>
      </c>
      <c r="C131" s="3">
        <v>42333</v>
      </c>
      <c r="D131" t="s">
        <v>40</v>
      </c>
      <c r="E131" t="s">
        <v>198</v>
      </c>
      <c r="F131">
        <v>3500</v>
      </c>
      <c r="G131">
        <v>9.1999999999999993</v>
      </c>
      <c r="H131">
        <v>15.7</v>
      </c>
      <c r="I131">
        <v>1</v>
      </c>
      <c r="J131">
        <v>3.83</v>
      </c>
      <c r="K131" s="3">
        <v>14.57</v>
      </c>
      <c r="L131">
        <v>9.1999999999999993</v>
      </c>
    </row>
    <row r="132" spans="1:12" x14ac:dyDescent="0.25">
      <c r="A132" t="s">
        <v>29</v>
      </c>
      <c r="B132" t="s">
        <v>133</v>
      </c>
      <c r="C132" s="3">
        <v>42333</v>
      </c>
      <c r="D132" t="s">
        <v>105</v>
      </c>
      <c r="E132" t="s">
        <v>34</v>
      </c>
      <c r="F132">
        <v>3600</v>
      </c>
      <c r="G132">
        <v>12.64</v>
      </c>
      <c r="H132">
        <v>26.4</v>
      </c>
      <c r="I132">
        <v>6.1</v>
      </c>
      <c r="J132">
        <v>6.42</v>
      </c>
      <c r="K132" s="3">
        <v>18.86</v>
      </c>
      <c r="L132">
        <v>12.64</v>
      </c>
    </row>
    <row r="133" spans="1:12" x14ac:dyDescent="0.25">
      <c r="A133" t="s">
        <v>31</v>
      </c>
      <c r="B133" t="s">
        <v>134</v>
      </c>
      <c r="C133" s="3">
        <v>42333</v>
      </c>
      <c r="D133" t="s">
        <v>99</v>
      </c>
      <c r="E133" t="s">
        <v>42</v>
      </c>
      <c r="F133">
        <v>6000</v>
      </c>
      <c r="G133">
        <v>26.12</v>
      </c>
      <c r="H133">
        <v>39.1</v>
      </c>
      <c r="I133">
        <v>14.1</v>
      </c>
      <c r="J133">
        <v>18.8</v>
      </c>
      <c r="K133" s="3">
        <v>33.43</v>
      </c>
      <c r="L133">
        <v>26.114999999999998</v>
      </c>
    </row>
    <row r="134" spans="1:12" x14ac:dyDescent="0.25">
      <c r="A134" t="s">
        <v>31</v>
      </c>
      <c r="B134" t="s">
        <v>290</v>
      </c>
      <c r="C134" s="3">
        <v>42333</v>
      </c>
      <c r="D134" t="s">
        <v>33</v>
      </c>
      <c r="E134" t="s">
        <v>35</v>
      </c>
      <c r="F134">
        <v>3500</v>
      </c>
      <c r="G134">
        <v>2.4</v>
      </c>
      <c r="H134">
        <v>2.4</v>
      </c>
      <c r="I134">
        <v>2.4</v>
      </c>
      <c r="J134">
        <v>2.4</v>
      </c>
      <c r="K134" s="3">
        <v>2.4</v>
      </c>
      <c r="L134">
        <v>2.4</v>
      </c>
    </row>
    <row r="135" spans="1:12" x14ac:dyDescent="0.25">
      <c r="A135" t="s">
        <v>27</v>
      </c>
      <c r="B135" t="s">
        <v>291</v>
      </c>
      <c r="C135" s="3">
        <v>42333</v>
      </c>
      <c r="D135" t="s">
        <v>202</v>
      </c>
      <c r="E135" t="s">
        <v>44</v>
      </c>
      <c r="F135">
        <v>6400</v>
      </c>
      <c r="G135">
        <v>29.8</v>
      </c>
      <c r="H135">
        <v>48.3</v>
      </c>
      <c r="I135">
        <v>13.9</v>
      </c>
      <c r="J135">
        <v>18.940000000000001</v>
      </c>
      <c r="K135" s="3">
        <v>40.659999999999997</v>
      </c>
      <c r="L135">
        <v>29.8</v>
      </c>
    </row>
    <row r="136" spans="1:12" x14ac:dyDescent="0.25">
      <c r="A136" t="s">
        <v>31</v>
      </c>
      <c r="B136" t="s">
        <v>292</v>
      </c>
      <c r="C136" s="3">
        <v>42333</v>
      </c>
      <c r="D136" t="s">
        <v>39</v>
      </c>
      <c r="E136" t="s">
        <v>47</v>
      </c>
      <c r="F136">
        <v>3600</v>
      </c>
      <c r="G136">
        <v>10.96</v>
      </c>
      <c r="H136">
        <v>19.5</v>
      </c>
      <c r="I136">
        <v>3.6</v>
      </c>
      <c r="J136">
        <v>5.29</v>
      </c>
      <c r="K136" s="3">
        <v>16.62</v>
      </c>
      <c r="L136">
        <v>10.955</v>
      </c>
    </row>
    <row r="137" spans="1:12" x14ac:dyDescent="0.25">
      <c r="A137" t="s">
        <v>27</v>
      </c>
      <c r="B137" t="s">
        <v>293</v>
      </c>
      <c r="C137" s="3">
        <v>42333</v>
      </c>
      <c r="D137" t="s">
        <v>219</v>
      </c>
      <c r="E137" t="s">
        <v>107</v>
      </c>
      <c r="F137">
        <v>3500</v>
      </c>
      <c r="G137">
        <v>8.81</v>
      </c>
      <c r="H137">
        <v>19.5</v>
      </c>
      <c r="I137">
        <v>2.2000000000000002</v>
      </c>
      <c r="J137">
        <v>3.79</v>
      </c>
      <c r="K137" s="3">
        <v>13.83</v>
      </c>
      <c r="L137">
        <v>8.81</v>
      </c>
    </row>
    <row r="138" spans="1:12" x14ac:dyDescent="0.25">
      <c r="A138" t="s">
        <v>28</v>
      </c>
      <c r="B138" t="s">
        <v>135</v>
      </c>
      <c r="C138" s="3">
        <v>42333</v>
      </c>
      <c r="D138" t="s">
        <v>108</v>
      </c>
      <c r="E138" t="s">
        <v>46</v>
      </c>
      <c r="F138">
        <v>3600</v>
      </c>
      <c r="G138">
        <v>13.2</v>
      </c>
      <c r="H138">
        <v>13.2</v>
      </c>
      <c r="I138">
        <v>13.2</v>
      </c>
      <c r="J138">
        <v>13.2</v>
      </c>
      <c r="K138" s="3">
        <v>13.2</v>
      </c>
      <c r="L138">
        <v>13.2</v>
      </c>
    </row>
    <row r="139" spans="1:12" x14ac:dyDescent="0.25">
      <c r="A139" t="s">
        <v>29</v>
      </c>
      <c r="B139" t="s">
        <v>136</v>
      </c>
      <c r="C139" s="3">
        <v>42333</v>
      </c>
      <c r="D139" t="s">
        <v>107</v>
      </c>
      <c r="E139" t="s">
        <v>219</v>
      </c>
      <c r="F139">
        <v>4500</v>
      </c>
      <c r="G139">
        <v>17.8</v>
      </c>
      <c r="H139">
        <v>34.9</v>
      </c>
      <c r="I139">
        <v>0.4</v>
      </c>
      <c r="J139">
        <v>7.84</v>
      </c>
      <c r="K139" s="3">
        <v>27.76</v>
      </c>
      <c r="L139">
        <v>17.8</v>
      </c>
    </row>
    <row r="140" spans="1:12" x14ac:dyDescent="0.25">
      <c r="A140" t="s">
        <v>27</v>
      </c>
      <c r="B140" t="s">
        <v>137</v>
      </c>
      <c r="C140" s="3">
        <v>42333</v>
      </c>
      <c r="D140" t="s">
        <v>98</v>
      </c>
      <c r="E140" t="s">
        <v>41</v>
      </c>
      <c r="F140">
        <v>7100</v>
      </c>
      <c r="G140">
        <v>30.62</v>
      </c>
      <c r="H140">
        <v>45.7</v>
      </c>
      <c r="I140">
        <v>12.3</v>
      </c>
      <c r="J140">
        <v>21.71</v>
      </c>
      <c r="K140" s="3">
        <v>39.53</v>
      </c>
      <c r="L140">
        <v>30.62</v>
      </c>
    </row>
    <row r="141" spans="1:12" x14ac:dyDescent="0.25">
      <c r="A141" t="s">
        <v>28</v>
      </c>
      <c r="B141" t="s">
        <v>294</v>
      </c>
      <c r="C141" s="3">
        <v>42333</v>
      </c>
      <c r="D141" t="s">
        <v>43</v>
      </c>
      <c r="E141" t="s">
        <v>102</v>
      </c>
      <c r="F141">
        <v>3500</v>
      </c>
      <c r="G141">
        <v>13.2</v>
      </c>
      <c r="H141">
        <v>22.4</v>
      </c>
      <c r="I141">
        <v>4.2</v>
      </c>
      <c r="J141">
        <v>5.77</v>
      </c>
      <c r="K141" s="3">
        <v>20.63</v>
      </c>
      <c r="L141">
        <v>13.2</v>
      </c>
    </row>
    <row r="142" spans="1:12" x14ac:dyDescent="0.25">
      <c r="A142" t="s">
        <v>31</v>
      </c>
      <c r="B142" t="s">
        <v>295</v>
      </c>
      <c r="C142" s="3">
        <v>42333</v>
      </c>
      <c r="D142" t="s">
        <v>42</v>
      </c>
      <c r="E142" t="s">
        <v>99</v>
      </c>
      <c r="F142">
        <v>4500</v>
      </c>
      <c r="G142">
        <v>20.83</v>
      </c>
      <c r="H142">
        <v>31.5</v>
      </c>
      <c r="I142">
        <v>10.9</v>
      </c>
      <c r="J142">
        <v>16.03</v>
      </c>
      <c r="K142" s="3">
        <v>25.64</v>
      </c>
      <c r="L142">
        <v>20.835000000000001</v>
      </c>
    </row>
    <row r="143" spans="1:12" x14ac:dyDescent="0.25">
      <c r="A143" t="s">
        <v>31</v>
      </c>
      <c r="B143" t="s">
        <v>138</v>
      </c>
      <c r="C143" s="3">
        <v>42333</v>
      </c>
      <c r="D143" t="s">
        <v>108</v>
      </c>
      <c r="E143" t="s">
        <v>46</v>
      </c>
      <c r="F143">
        <v>3500</v>
      </c>
      <c r="G143">
        <v>5.99</v>
      </c>
      <c r="H143">
        <v>18.2</v>
      </c>
      <c r="I143">
        <v>-1</v>
      </c>
      <c r="J143">
        <v>-0.09</v>
      </c>
      <c r="K143" s="3">
        <v>12.07</v>
      </c>
      <c r="L143">
        <v>5.99</v>
      </c>
    </row>
    <row r="144" spans="1:12" x14ac:dyDescent="0.25">
      <c r="A144" t="s">
        <v>30</v>
      </c>
      <c r="B144" t="s">
        <v>296</v>
      </c>
      <c r="C144" s="3">
        <v>42333</v>
      </c>
      <c r="D144" t="s">
        <v>34</v>
      </c>
      <c r="E144" t="s">
        <v>105</v>
      </c>
      <c r="F144">
        <v>4600</v>
      </c>
      <c r="G144">
        <v>20.87</v>
      </c>
      <c r="H144">
        <v>32.299999999999997</v>
      </c>
      <c r="I144">
        <v>6.8</v>
      </c>
      <c r="J144">
        <v>14.65</v>
      </c>
      <c r="K144" s="3">
        <v>27.08</v>
      </c>
      <c r="L144">
        <v>20.864999999999998</v>
      </c>
    </row>
    <row r="145" spans="1:12" x14ac:dyDescent="0.25">
      <c r="A145" t="s">
        <v>27</v>
      </c>
      <c r="B145" t="s">
        <v>297</v>
      </c>
      <c r="C145" s="3">
        <v>42333</v>
      </c>
      <c r="D145" t="s">
        <v>34</v>
      </c>
      <c r="E145" t="s">
        <v>105</v>
      </c>
      <c r="F145">
        <v>4700</v>
      </c>
      <c r="G145">
        <v>20.96</v>
      </c>
      <c r="H145">
        <v>28</v>
      </c>
      <c r="I145">
        <v>10.7</v>
      </c>
      <c r="J145">
        <v>15.73</v>
      </c>
      <c r="K145" s="3">
        <v>26.19</v>
      </c>
      <c r="L145">
        <v>20.96</v>
      </c>
    </row>
    <row r="146" spans="1:12" x14ac:dyDescent="0.25">
      <c r="A146" t="s">
        <v>27</v>
      </c>
      <c r="B146" t="s">
        <v>298</v>
      </c>
      <c r="C146" s="3">
        <v>42333</v>
      </c>
      <c r="D146" t="s">
        <v>47</v>
      </c>
      <c r="E146" t="s">
        <v>39</v>
      </c>
      <c r="F146">
        <v>3500</v>
      </c>
      <c r="G146">
        <v>12.74</v>
      </c>
      <c r="H146">
        <v>24.7</v>
      </c>
      <c r="I146">
        <v>1.2</v>
      </c>
      <c r="J146">
        <v>6.73</v>
      </c>
      <c r="K146" s="3">
        <v>18.75</v>
      </c>
      <c r="L146">
        <v>12.74</v>
      </c>
    </row>
    <row r="147" spans="1:12" x14ac:dyDescent="0.25">
      <c r="A147" t="s">
        <v>27</v>
      </c>
      <c r="B147" t="s">
        <v>299</v>
      </c>
      <c r="C147" s="3">
        <v>42333</v>
      </c>
      <c r="D147" t="s">
        <v>48</v>
      </c>
      <c r="E147" t="s">
        <v>32</v>
      </c>
      <c r="F147">
        <v>4400</v>
      </c>
      <c r="G147">
        <v>21.29</v>
      </c>
      <c r="H147">
        <v>41.2</v>
      </c>
      <c r="I147">
        <v>5.2</v>
      </c>
      <c r="J147">
        <v>11.2</v>
      </c>
      <c r="K147" s="3">
        <v>31.38</v>
      </c>
      <c r="L147">
        <v>21.29</v>
      </c>
    </row>
    <row r="148" spans="1:12" x14ac:dyDescent="0.25">
      <c r="A148" t="s">
        <v>30</v>
      </c>
      <c r="B148" t="s">
        <v>300</v>
      </c>
      <c r="C148" s="3">
        <v>42333</v>
      </c>
      <c r="D148" t="s">
        <v>35</v>
      </c>
      <c r="E148" t="s">
        <v>33</v>
      </c>
      <c r="F148">
        <v>3600</v>
      </c>
      <c r="G148">
        <v>3.4</v>
      </c>
      <c r="H148">
        <v>3.4</v>
      </c>
      <c r="I148">
        <v>3.4</v>
      </c>
      <c r="J148">
        <v>3.4</v>
      </c>
      <c r="K148" s="3">
        <v>3.4</v>
      </c>
      <c r="L148">
        <v>3.4</v>
      </c>
    </row>
    <row r="149" spans="1:12" x14ac:dyDescent="0.25">
      <c r="A149" t="s">
        <v>30</v>
      </c>
      <c r="B149" t="s">
        <v>301</v>
      </c>
      <c r="C149" s="3">
        <v>42333</v>
      </c>
      <c r="D149" t="s">
        <v>40</v>
      </c>
      <c r="E149" t="s">
        <v>198</v>
      </c>
      <c r="F149">
        <v>3500</v>
      </c>
      <c r="G149">
        <v>1.72</v>
      </c>
      <c r="H149">
        <v>3.9</v>
      </c>
      <c r="I149">
        <v>-1</v>
      </c>
      <c r="J149">
        <v>0.04</v>
      </c>
      <c r="K149" s="3">
        <v>3.4</v>
      </c>
      <c r="L149">
        <v>1.72</v>
      </c>
    </row>
    <row r="150" spans="1:12" x14ac:dyDescent="0.25">
      <c r="A150" t="s">
        <v>29</v>
      </c>
      <c r="B150" t="s">
        <v>302</v>
      </c>
      <c r="C150" s="3">
        <v>42333</v>
      </c>
      <c r="D150" t="s">
        <v>43</v>
      </c>
      <c r="E150" t="s">
        <v>102</v>
      </c>
      <c r="F150">
        <v>3500</v>
      </c>
      <c r="G150">
        <v>8.9</v>
      </c>
      <c r="H150">
        <v>18.600000000000001</v>
      </c>
      <c r="I150">
        <v>0.9</v>
      </c>
      <c r="J150">
        <v>3.76</v>
      </c>
      <c r="K150" s="3">
        <v>14.04</v>
      </c>
      <c r="L150">
        <v>8.9</v>
      </c>
    </row>
    <row r="151" spans="1:12" x14ac:dyDescent="0.25">
      <c r="A151" t="s">
        <v>30</v>
      </c>
      <c r="B151" t="s">
        <v>303</v>
      </c>
      <c r="C151" s="3">
        <v>42333</v>
      </c>
      <c r="D151" t="s">
        <v>202</v>
      </c>
      <c r="E151" t="s">
        <v>44</v>
      </c>
      <c r="F151">
        <v>6000</v>
      </c>
      <c r="G151">
        <v>23.41</v>
      </c>
      <c r="H151">
        <v>39.4</v>
      </c>
      <c r="I151">
        <v>6.9</v>
      </c>
      <c r="J151">
        <v>13.77</v>
      </c>
      <c r="K151" s="3">
        <v>33.04</v>
      </c>
      <c r="L151">
        <v>23.405000000000001</v>
      </c>
    </row>
    <row r="152" spans="1:12" x14ac:dyDescent="0.25">
      <c r="A152" t="s">
        <v>28</v>
      </c>
      <c r="B152" t="s">
        <v>304</v>
      </c>
      <c r="C152" s="3">
        <v>42333</v>
      </c>
      <c r="D152" t="s">
        <v>35</v>
      </c>
      <c r="E152" t="s">
        <v>33</v>
      </c>
      <c r="F152">
        <v>3500</v>
      </c>
      <c r="G152">
        <v>8.1</v>
      </c>
      <c r="H152">
        <v>8.1</v>
      </c>
      <c r="I152">
        <v>8.1</v>
      </c>
      <c r="J152">
        <v>8.1</v>
      </c>
      <c r="K152" s="3">
        <v>8.1</v>
      </c>
      <c r="L152">
        <v>8.1</v>
      </c>
    </row>
    <row r="153" spans="1:12" x14ac:dyDescent="0.25">
      <c r="A153" t="s">
        <v>31</v>
      </c>
      <c r="B153" t="s">
        <v>305</v>
      </c>
      <c r="C153" s="3">
        <v>42333</v>
      </c>
      <c r="D153" t="s">
        <v>48</v>
      </c>
      <c r="E153" t="s">
        <v>32</v>
      </c>
      <c r="F153">
        <v>3500</v>
      </c>
      <c r="G153">
        <v>12.62</v>
      </c>
      <c r="H153">
        <v>36.5</v>
      </c>
      <c r="I153">
        <v>2</v>
      </c>
      <c r="J153">
        <v>2.57</v>
      </c>
      <c r="K153" s="3">
        <v>22.67</v>
      </c>
      <c r="L153">
        <v>12.62</v>
      </c>
    </row>
    <row r="154" spans="1:12" x14ac:dyDescent="0.25">
      <c r="A154" t="s">
        <v>30</v>
      </c>
      <c r="B154" t="s">
        <v>139</v>
      </c>
      <c r="C154" s="3">
        <v>42333</v>
      </c>
      <c r="D154" t="s">
        <v>108</v>
      </c>
      <c r="E154" t="s">
        <v>46</v>
      </c>
      <c r="F154">
        <v>3600</v>
      </c>
      <c r="G154">
        <v>10.38</v>
      </c>
      <c r="H154">
        <v>26.7</v>
      </c>
      <c r="I154">
        <v>2.5</v>
      </c>
      <c r="J154">
        <v>0.83</v>
      </c>
      <c r="K154" s="3">
        <v>19.920000000000002</v>
      </c>
      <c r="L154">
        <v>10.375</v>
      </c>
    </row>
    <row r="155" spans="1:12" x14ac:dyDescent="0.25">
      <c r="A155" t="s">
        <v>27</v>
      </c>
      <c r="B155" t="s">
        <v>140</v>
      </c>
      <c r="C155" s="3">
        <v>42333</v>
      </c>
      <c r="D155" t="s">
        <v>105</v>
      </c>
      <c r="E155" t="s">
        <v>34</v>
      </c>
      <c r="F155">
        <v>8800</v>
      </c>
      <c r="G155">
        <v>34.76</v>
      </c>
      <c r="H155">
        <v>49.4</v>
      </c>
      <c r="I155">
        <v>22.3</v>
      </c>
      <c r="J155">
        <v>25.99</v>
      </c>
      <c r="K155" s="3">
        <v>43.54</v>
      </c>
      <c r="L155">
        <v>34.765000000000001</v>
      </c>
    </row>
    <row r="156" spans="1:12" x14ac:dyDescent="0.25">
      <c r="A156" t="s">
        <v>28</v>
      </c>
      <c r="B156" t="s">
        <v>306</v>
      </c>
      <c r="C156" s="3">
        <v>42333</v>
      </c>
      <c r="D156" t="s">
        <v>48</v>
      </c>
      <c r="E156" t="s">
        <v>32</v>
      </c>
      <c r="F156">
        <v>3500</v>
      </c>
      <c r="G156">
        <v>11</v>
      </c>
      <c r="H156">
        <v>28.3</v>
      </c>
      <c r="I156">
        <v>2.7</v>
      </c>
      <c r="J156">
        <v>4.0599999999999996</v>
      </c>
      <c r="K156" s="3">
        <v>17.940000000000001</v>
      </c>
      <c r="L156">
        <v>11</v>
      </c>
    </row>
    <row r="157" spans="1:12" x14ac:dyDescent="0.25">
      <c r="A157" t="s">
        <v>31</v>
      </c>
      <c r="B157" t="s">
        <v>307</v>
      </c>
      <c r="C157" s="3">
        <v>42333</v>
      </c>
      <c r="D157" t="s">
        <v>45</v>
      </c>
      <c r="E157" t="s">
        <v>193</v>
      </c>
      <c r="F157">
        <v>3500</v>
      </c>
      <c r="G157">
        <v>13.53</v>
      </c>
      <c r="H157">
        <v>28.9</v>
      </c>
      <c r="I157">
        <v>5.4</v>
      </c>
      <c r="J157">
        <v>6.64</v>
      </c>
      <c r="K157" s="3">
        <v>20.420000000000002</v>
      </c>
      <c r="L157">
        <v>13.53</v>
      </c>
    </row>
    <row r="158" spans="1:12" x14ac:dyDescent="0.25">
      <c r="A158" t="s">
        <v>31</v>
      </c>
      <c r="B158" t="s">
        <v>141</v>
      </c>
      <c r="C158" s="3">
        <v>42333</v>
      </c>
      <c r="D158" t="s">
        <v>99</v>
      </c>
      <c r="E158" t="s">
        <v>42</v>
      </c>
      <c r="F158">
        <v>3500</v>
      </c>
      <c r="G158">
        <v>8.01</v>
      </c>
      <c r="H158">
        <v>15.1</v>
      </c>
      <c r="I158">
        <v>2.4</v>
      </c>
      <c r="J158">
        <v>4.29</v>
      </c>
      <c r="K158" s="3">
        <v>11.73</v>
      </c>
      <c r="L158">
        <v>8.01</v>
      </c>
    </row>
    <row r="159" spans="1:12" x14ac:dyDescent="0.25">
      <c r="A159" t="s">
        <v>28</v>
      </c>
      <c r="B159" t="s">
        <v>308</v>
      </c>
      <c r="C159" s="3">
        <v>42333</v>
      </c>
      <c r="D159" t="s">
        <v>198</v>
      </c>
      <c r="E159" t="s">
        <v>40</v>
      </c>
      <c r="F159">
        <v>5700</v>
      </c>
      <c r="G159">
        <v>26.08</v>
      </c>
      <c r="H159">
        <v>39</v>
      </c>
      <c r="I159">
        <v>8.6</v>
      </c>
      <c r="J159">
        <v>18.920000000000002</v>
      </c>
      <c r="K159" s="3">
        <v>33.229999999999997</v>
      </c>
      <c r="L159">
        <v>26.074999999999999</v>
      </c>
    </row>
    <row r="160" spans="1:12" x14ac:dyDescent="0.25">
      <c r="A160" t="s">
        <v>30</v>
      </c>
      <c r="B160" t="s">
        <v>309</v>
      </c>
      <c r="C160" s="3">
        <v>42333</v>
      </c>
      <c r="D160" t="s">
        <v>46</v>
      </c>
      <c r="E160" t="s">
        <v>108</v>
      </c>
      <c r="F160">
        <v>3500</v>
      </c>
      <c r="G160">
        <v>4.2</v>
      </c>
      <c r="H160">
        <v>9.4</v>
      </c>
      <c r="I160">
        <v>1.2</v>
      </c>
      <c r="J160">
        <v>0.51</v>
      </c>
      <c r="K160" s="3">
        <v>7.89</v>
      </c>
      <c r="L160">
        <v>4.2</v>
      </c>
    </row>
    <row r="161" spans="1:12" x14ac:dyDescent="0.25">
      <c r="A161" t="s">
        <v>30</v>
      </c>
      <c r="B161" t="s">
        <v>142</v>
      </c>
      <c r="C161" s="3">
        <v>42333</v>
      </c>
      <c r="D161" t="s">
        <v>107</v>
      </c>
      <c r="E161" t="s">
        <v>219</v>
      </c>
      <c r="F161">
        <v>3500</v>
      </c>
      <c r="G161">
        <v>8.9499999999999993</v>
      </c>
      <c r="H161">
        <v>11.9</v>
      </c>
      <c r="I161">
        <v>6</v>
      </c>
      <c r="J161">
        <v>6</v>
      </c>
      <c r="K161" s="3">
        <v>11.9</v>
      </c>
      <c r="L161">
        <v>8.9499999999999993</v>
      </c>
    </row>
    <row r="162" spans="1:12" x14ac:dyDescent="0.25">
      <c r="A162" t="s">
        <v>31</v>
      </c>
      <c r="B162" t="s">
        <v>143</v>
      </c>
      <c r="C162" s="3">
        <v>42333</v>
      </c>
      <c r="D162" t="s">
        <v>99</v>
      </c>
      <c r="E162" t="s">
        <v>42</v>
      </c>
      <c r="F162">
        <v>3500</v>
      </c>
      <c r="G162">
        <v>6.05</v>
      </c>
      <c r="H162">
        <v>6.2</v>
      </c>
      <c r="I162">
        <v>5.9</v>
      </c>
      <c r="J162">
        <v>5.9</v>
      </c>
      <c r="K162" s="3">
        <v>6.2</v>
      </c>
      <c r="L162">
        <v>6.05</v>
      </c>
    </row>
    <row r="163" spans="1:12" x14ac:dyDescent="0.25">
      <c r="A163" t="s">
        <v>27</v>
      </c>
      <c r="B163" t="s">
        <v>310</v>
      </c>
      <c r="C163" s="3">
        <v>42333</v>
      </c>
      <c r="D163" t="s">
        <v>47</v>
      </c>
      <c r="E163" t="s">
        <v>39</v>
      </c>
      <c r="F163">
        <v>4600</v>
      </c>
      <c r="G163">
        <v>16.07</v>
      </c>
      <c r="H163">
        <v>29.3</v>
      </c>
      <c r="I163">
        <v>6.7</v>
      </c>
      <c r="J163">
        <v>9.25</v>
      </c>
      <c r="K163" s="3">
        <v>22.9</v>
      </c>
      <c r="L163">
        <v>16.074999999999999</v>
      </c>
    </row>
    <row r="164" spans="1:12" x14ac:dyDescent="0.25">
      <c r="A164" t="s">
        <v>31</v>
      </c>
      <c r="B164" t="s">
        <v>311</v>
      </c>
      <c r="C164" s="3">
        <v>42333</v>
      </c>
      <c r="D164" t="s">
        <v>33</v>
      </c>
      <c r="E164" t="s">
        <v>35</v>
      </c>
      <c r="F164">
        <v>3500</v>
      </c>
      <c r="G164">
        <v>9.07</v>
      </c>
      <c r="H164">
        <v>18.100000000000001</v>
      </c>
      <c r="I164">
        <v>0.4</v>
      </c>
      <c r="J164">
        <v>3.59</v>
      </c>
      <c r="K164" s="3">
        <v>14.54</v>
      </c>
      <c r="L164">
        <v>9.0649999999999995</v>
      </c>
    </row>
    <row r="165" spans="1:12" x14ac:dyDescent="0.25">
      <c r="A165" t="s">
        <v>30</v>
      </c>
      <c r="B165" t="s">
        <v>312</v>
      </c>
      <c r="C165" s="3">
        <v>42333</v>
      </c>
      <c r="D165" t="s">
        <v>33</v>
      </c>
      <c r="E165" t="s">
        <v>35</v>
      </c>
      <c r="F165">
        <v>3500</v>
      </c>
      <c r="G165">
        <v>3.9</v>
      </c>
      <c r="H165">
        <v>11.6</v>
      </c>
      <c r="I165">
        <v>-1</v>
      </c>
      <c r="J165">
        <v>-1.38</v>
      </c>
      <c r="K165" s="3">
        <v>9.18</v>
      </c>
      <c r="L165">
        <v>3.9</v>
      </c>
    </row>
    <row r="166" spans="1:12" x14ac:dyDescent="0.25">
      <c r="A166" t="s">
        <v>31</v>
      </c>
      <c r="B166" t="s">
        <v>144</v>
      </c>
      <c r="C166" s="3">
        <v>42333</v>
      </c>
      <c r="D166" t="s">
        <v>102</v>
      </c>
      <c r="E166" t="s">
        <v>43</v>
      </c>
      <c r="F166">
        <v>3900</v>
      </c>
      <c r="G166">
        <v>14.21</v>
      </c>
      <c r="H166">
        <v>19.2</v>
      </c>
      <c r="I166">
        <v>5.2</v>
      </c>
      <c r="J166">
        <v>9.3000000000000007</v>
      </c>
      <c r="K166">
        <v>19.13</v>
      </c>
      <c r="L166">
        <v>14.215</v>
      </c>
    </row>
    <row r="167" spans="1:12" x14ac:dyDescent="0.25">
      <c r="A167" t="s">
        <v>27</v>
      </c>
      <c r="B167" t="s">
        <v>313</v>
      </c>
      <c r="C167" s="3">
        <v>42333</v>
      </c>
      <c r="D167" t="s">
        <v>193</v>
      </c>
      <c r="E167" t="s">
        <v>45</v>
      </c>
      <c r="F167">
        <v>5400</v>
      </c>
      <c r="G167">
        <v>20.23</v>
      </c>
      <c r="H167">
        <v>29.4</v>
      </c>
      <c r="I167">
        <v>12.2</v>
      </c>
      <c r="J167">
        <v>14.57</v>
      </c>
      <c r="K167">
        <v>25.89</v>
      </c>
      <c r="L167">
        <v>20.23</v>
      </c>
    </row>
    <row r="168" spans="1:12" x14ac:dyDescent="0.25">
      <c r="A168" t="s">
        <v>29</v>
      </c>
      <c r="B168" t="s">
        <v>145</v>
      </c>
      <c r="C168" s="3">
        <v>42333</v>
      </c>
      <c r="D168" t="s">
        <v>108</v>
      </c>
      <c r="E168" t="s">
        <v>46</v>
      </c>
      <c r="F168">
        <v>3500</v>
      </c>
      <c r="G168">
        <v>6.44</v>
      </c>
      <c r="H168">
        <v>15.7</v>
      </c>
      <c r="I168">
        <v>1.2</v>
      </c>
      <c r="J168">
        <v>0.8</v>
      </c>
      <c r="K168">
        <v>12.09</v>
      </c>
      <c r="L168">
        <v>6.4450000000000003</v>
      </c>
    </row>
    <row r="169" spans="1:12" x14ac:dyDescent="0.25">
      <c r="A169" t="s">
        <v>30</v>
      </c>
      <c r="B169" t="s">
        <v>146</v>
      </c>
      <c r="C169" s="3">
        <v>42333</v>
      </c>
      <c r="D169" t="s">
        <v>98</v>
      </c>
      <c r="E169" t="s">
        <v>41</v>
      </c>
      <c r="F169">
        <v>3500</v>
      </c>
      <c r="G169">
        <v>8.6</v>
      </c>
      <c r="H169">
        <v>19.2</v>
      </c>
      <c r="I169">
        <v>1.2</v>
      </c>
      <c r="J169">
        <v>3.41</v>
      </c>
      <c r="K169">
        <v>13.79</v>
      </c>
      <c r="L169">
        <v>8.6</v>
      </c>
    </row>
    <row r="170" spans="1:12" x14ac:dyDescent="0.25">
      <c r="A170" t="s">
        <v>29</v>
      </c>
      <c r="B170" t="s">
        <v>314</v>
      </c>
      <c r="C170" s="3">
        <v>42333</v>
      </c>
      <c r="D170" t="s">
        <v>33</v>
      </c>
      <c r="E170" t="s">
        <v>35</v>
      </c>
      <c r="F170">
        <v>3700</v>
      </c>
      <c r="G170">
        <v>15.65</v>
      </c>
      <c r="H170">
        <v>24.1</v>
      </c>
      <c r="I170">
        <v>5.8</v>
      </c>
      <c r="J170">
        <v>10.66</v>
      </c>
      <c r="K170">
        <v>20.65</v>
      </c>
      <c r="L170">
        <v>15.654999999999999</v>
      </c>
    </row>
    <row r="171" spans="1:12" x14ac:dyDescent="0.25">
      <c r="A171" t="s">
        <v>29</v>
      </c>
      <c r="B171" t="s">
        <v>315</v>
      </c>
      <c r="C171" s="3">
        <v>42333</v>
      </c>
      <c r="D171" t="s">
        <v>219</v>
      </c>
      <c r="E171" t="s">
        <v>107</v>
      </c>
      <c r="F171">
        <v>3500</v>
      </c>
      <c r="G171">
        <v>7.3</v>
      </c>
      <c r="H171">
        <v>10</v>
      </c>
      <c r="I171">
        <v>5.2</v>
      </c>
      <c r="J171">
        <v>5.3</v>
      </c>
      <c r="K171">
        <v>9.3000000000000007</v>
      </c>
      <c r="L171">
        <v>7.3</v>
      </c>
    </row>
    <row r="172" spans="1:12" x14ac:dyDescent="0.25">
      <c r="A172" t="s">
        <v>28</v>
      </c>
      <c r="B172" t="s">
        <v>316</v>
      </c>
      <c r="C172" s="3">
        <v>42333</v>
      </c>
      <c r="D172" t="s">
        <v>41</v>
      </c>
      <c r="E172" t="s">
        <v>98</v>
      </c>
      <c r="F172">
        <v>6900</v>
      </c>
      <c r="G172">
        <v>32.53</v>
      </c>
      <c r="H172">
        <v>54.8</v>
      </c>
      <c r="I172">
        <v>14.4</v>
      </c>
      <c r="J172">
        <v>21.24</v>
      </c>
      <c r="K172">
        <v>43.81</v>
      </c>
      <c r="L172">
        <v>32.524999999999999</v>
      </c>
    </row>
    <row r="173" spans="1:12" x14ac:dyDescent="0.25">
      <c r="A173" t="s">
        <v>29</v>
      </c>
      <c r="B173" t="s">
        <v>317</v>
      </c>
      <c r="C173" s="3">
        <v>42333</v>
      </c>
      <c r="D173" t="s">
        <v>46</v>
      </c>
      <c r="E173" t="s">
        <v>108</v>
      </c>
      <c r="F173">
        <v>8800</v>
      </c>
      <c r="G173">
        <v>38.799999999999997</v>
      </c>
      <c r="H173">
        <v>52.6</v>
      </c>
      <c r="I173">
        <v>31.5</v>
      </c>
      <c r="J173">
        <v>32.29</v>
      </c>
      <c r="K173">
        <v>45.31</v>
      </c>
      <c r="L173">
        <v>38.799999999999997</v>
      </c>
    </row>
    <row r="174" spans="1:12" x14ac:dyDescent="0.25">
      <c r="A174" t="s">
        <v>28</v>
      </c>
      <c r="B174" t="s">
        <v>147</v>
      </c>
      <c r="C174" s="3">
        <v>42333</v>
      </c>
      <c r="D174" t="s">
        <v>99</v>
      </c>
      <c r="E174" t="s">
        <v>42</v>
      </c>
      <c r="F174">
        <v>3800</v>
      </c>
      <c r="G174">
        <v>15.96</v>
      </c>
      <c r="H174">
        <v>40.4</v>
      </c>
      <c r="I174">
        <v>5.4</v>
      </c>
      <c r="J174">
        <v>6.69</v>
      </c>
      <c r="K174">
        <v>25.23</v>
      </c>
      <c r="L174">
        <v>15.96</v>
      </c>
    </row>
    <row r="175" spans="1:12" x14ac:dyDescent="0.25">
      <c r="A175" t="s">
        <v>29</v>
      </c>
      <c r="B175" t="s">
        <v>148</v>
      </c>
      <c r="C175" s="3">
        <v>42333</v>
      </c>
      <c r="D175" t="s">
        <v>105</v>
      </c>
      <c r="E175" t="s">
        <v>34</v>
      </c>
      <c r="F175">
        <v>3500</v>
      </c>
      <c r="G175">
        <v>9.9499999999999993</v>
      </c>
      <c r="H175">
        <v>13.6</v>
      </c>
      <c r="I175">
        <v>5.2</v>
      </c>
      <c r="J175">
        <v>6.86</v>
      </c>
      <c r="K175">
        <v>13.04</v>
      </c>
      <c r="L175">
        <v>9.9499999999999993</v>
      </c>
    </row>
    <row r="176" spans="1:12" x14ac:dyDescent="0.25">
      <c r="A176" t="s">
        <v>27</v>
      </c>
      <c r="B176" t="s">
        <v>318</v>
      </c>
      <c r="C176" s="3">
        <v>42333</v>
      </c>
      <c r="D176" t="s">
        <v>34</v>
      </c>
      <c r="E176" t="s">
        <v>105</v>
      </c>
      <c r="F176">
        <v>8200</v>
      </c>
      <c r="G176">
        <v>34.22</v>
      </c>
      <c r="H176">
        <v>61.7</v>
      </c>
      <c r="I176">
        <v>17.899999999999999</v>
      </c>
      <c r="J176">
        <v>23.1</v>
      </c>
      <c r="K176">
        <v>45.33</v>
      </c>
      <c r="L176">
        <v>34.215000000000003</v>
      </c>
    </row>
    <row r="177" spans="1:12" x14ac:dyDescent="0.25">
      <c r="A177" t="s">
        <v>28</v>
      </c>
      <c r="B177" t="s">
        <v>319</v>
      </c>
      <c r="C177" s="3">
        <v>42333</v>
      </c>
      <c r="D177" t="s">
        <v>193</v>
      </c>
      <c r="E177" t="s">
        <v>45</v>
      </c>
      <c r="F177">
        <v>3500</v>
      </c>
      <c r="G177">
        <v>9.5299999999999994</v>
      </c>
      <c r="H177">
        <v>16.3</v>
      </c>
      <c r="I177">
        <v>3.5</v>
      </c>
      <c r="J177">
        <v>4.28</v>
      </c>
      <c r="K177">
        <v>14.78</v>
      </c>
      <c r="L177">
        <v>9.5299999999999994</v>
      </c>
    </row>
    <row r="178" spans="1:12" x14ac:dyDescent="0.25">
      <c r="A178" t="s">
        <v>30</v>
      </c>
      <c r="B178" t="s">
        <v>149</v>
      </c>
      <c r="C178" s="3">
        <v>42333</v>
      </c>
      <c r="D178" t="s">
        <v>98</v>
      </c>
      <c r="E178" t="s">
        <v>41</v>
      </c>
      <c r="F178">
        <v>5100</v>
      </c>
      <c r="G178">
        <v>23.25</v>
      </c>
      <c r="H178">
        <v>38.299999999999997</v>
      </c>
      <c r="I178">
        <v>5.9</v>
      </c>
      <c r="J178">
        <v>13.96</v>
      </c>
      <c r="K178">
        <v>32.549999999999997</v>
      </c>
      <c r="L178">
        <v>23.254999999999999</v>
      </c>
    </row>
    <row r="179" spans="1:12" x14ac:dyDescent="0.25">
      <c r="A179" t="s">
        <v>30</v>
      </c>
      <c r="B179" t="s">
        <v>320</v>
      </c>
      <c r="C179" s="3">
        <v>42333</v>
      </c>
      <c r="D179" t="s">
        <v>35</v>
      </c>
      <c r="E179" t="s">
        <v>33</v>
      </c>
      <c r="F179">
        <v>4800</v>
      </c>
      <c r="G179">
        <v>21.04</v>
      </c>
      <c r="H179">
        <v>27.8</v>
      </c>
      <c r="I179">
        <v>14.2</v>
      </c>
      <c r="J179">
        <v>16.440000000000001</v>
      </c>
      <c r="K179">
        <v>25.64</v>
      </c>
      <c r="L179">
        <v>21.04</v>
      </c>
    </row>
    <row r="180" spans="1:12" x14ac:dyDescent="0.25">
      <c r="A180" t="s">
        <v>29</v>
      </c>
      <c r="B180" t="s">
        <v>321</v>
      </c>
      <c r="C180" s="3">
        <v>42333</v>
      </c>
      <c r="D180" t="s">
        <v>44</v>
      </c>
      <c r="E180" t="s">
        <v>202</v>
      </c>
      <c r="F180">
        <v>10200</v>
      </c>
      <c r="G180">
        <v>42.92</v>
      </c>
      <c r="H180">
        <v>64.400000000000006</v>
      </c>
      <c r="I180">
        <v>28.2</v>
      </c>
      <c r="J180">
        <v>31.12</v>
      </c>
      <c r="K180">
        <v>54.72</v>
      </c>
      <c r="L180">
        <v>42.92</v>
      </c>
    </row>
    <row r="181" spans="1:12" x14ac:dyDescent="0.25">
      <c r="A181" t="s">
        <v>31</v>
      </c>
      <c r="B181" t="s">
        <v>322</v>
      </c>
      <c r="C181" s="3">
        <v>42333</v>
      </c>
      <c r="D181" t="s">
        <v>41</v>
      </c>
      <c r="E181" t="s">
        <v>98</v>
      </c>
      <c r="F181">
        <v>3800</v>
      </c>
      <c r="G181">
        <v>13.23</v>
      </c>
      <c r="H181">
        <v>26</v>
      </c>
      <c r="I181">
        <v>2.4</v>
      </c>
      <c r="J181">
        <v>5.97</v>
      </c>
      <c r="K181">
        <v>20.5</v>
      </c>
      <c r="L181">
        <v>13.234999999999999</v>
      </c>
    </row>
    <row r="182" spans="1:12" x14ac:dyDescent="0.25">
      <c r="A182" t="s">
        <v>31</v>
      </c>
      <c r="B182" t="s">
        <v>323</v>
      </c>
      <c r="C182" s="3">
        <v>42333</v>
      </c>
      <c r="D182" t="s">
        <v>40</v>
      </c>
      <c r="E182" t="s">
        <v>198</v>
      </c>
      <c r="F182">
        <v>8300</v>
      </c>
      <c r="G182">
        <v>37.409999999999997</v>
      </c>
      <c r="H182">
        <v>51.8</v>
      </c>
      <c r="I182">
        <v>22.2</v>
      </c>
      <c r="J182">
        <v>28.19</v>
      </c>
      <c r="K182">
        <v>46.63</v>
      </c>
      <c r="L182">
        <v>37.409999999999997</v>
      </c>
    </row>
    <row r="183" spans="1:12" x14ac:dyDescent="0.25">
      <c r="A183" t="s">
        <v>30</v>
      </c>
      <c r="B183" t="s">
        <v>324</v>
      </c>
      <c r="C183" s="3">
        <v>42333</v>
      </c>
      <c r="D183" t="s">
        <v>41</v>
      </c>
      <c r="E183" t="s">
        <v>98</v>
      </c>
      <c r="F183">
        <v>4500</v>
      </c>
      <c r="G183">
        <v>18.350000000000001</v>
      </c>
      <c r="H183">
        <v>28.8</v>
      </c>
      <c r="I183">
        <v>3.7</v>
      </c>
      <c r="J183">
        <v>12.04</v>
      </c>
      <c r="K183">
        <v>24.65</v>
      </c>
      <c r="L183">
        <v>18.344999999999999</v>
      </c>
    </row>
    <row r="184" spans="1:12" x14ac:dyDescent="0.25">
      <c r="A184" t="s">
        <v>31</v>
      </c>
      <c r="B184" t="s">
        <v>325</v>
      </c>
      <c r="C184" s="3">
        <v>42333</v>
      </c>
      <c r="D184" t="s">
        <v>47</v>
      </c>
      <c r="E184" t="s">
        <v>39</v>
      </c>
      <c r="F184">
        <v>3500</v>
      </c>
      <c r="G184">
        <v>7.48</v>
      </c>
      <c r="H184">
        <v>24</v>
      </c>
      <c r="I184">
        <v>1.2</v>
      </c>
      <c r="J184">
        <v>0.53</v>
      </c>
      <c r="K184">
        <v>14.43</v>
      </c>
      <c r="L184">
        <v>7.48</v>
      </c>
    </row>
    <row r="185" spans="1:12" x14ac:dyDescent="0.25">
      <c r="A185" t="s">
        <v>29</v>
      </c>
      <c r="B185" t="s">
        <v>326</v>
      </c>
      <c r="C185" s="3">
        <v>42333</v>
      </c>
      <c r="D185" t="s">
        <v>48</v>
      </c>
      <c r="E185" t="s">
        <v>32</v>
      </c>
      <c r="F185">
        <v>5500</v>
      </c>
      <c r="G185">
        <v>22.7</v>
      </c>
      <c r="H185">
        <v>36.299999999999997</v>
      </c>
      <c r="I185">
        <v>8.4</v>
      </c>
      <c r="J185">
        <v>15.17</v>
      </c>
      <c r="K185">
        <v>30.23</v>
      </c>
      <c r="L185">
        <v>22.7</v>
      </c>
    </row>
    <row r="186" spans="1:12" x14ac:dyDescent="0.25">
      <c r="A186" t="s">
        <v>28</v>
      </c>
      <c r="B186" t="s">
        <v>327</v>
      </c>
      <c r="C186" s="3">
        <v>42333</v>
      </c>
      <c r="D186" t="s">
        <v>32</v>
      </c>
      <c r="E186" t="s">
        <v>48</v>
      </c>
      <c r="F186">
        <v>4000</v>
      </c>
      <c r="G186">
        <v>20.11</v>
      </c>
      <c r="H186">
        <v>29.4</v>
      </c>
      <c r="I186">
        <v>8.6</v>
      </c>
      <c r="J186">
        <v>14.32</v>
      </c>
      <c r="K186">
        <v>25.89</v>
      </c>
      <c r="L186">
        <v>20.105</v>
      </c>
    </row>
    <row r="187" spans="1:12" x14ac:dyDescent="0.25">
      <c r="A187" t="s">
        <v>31</v>
      </c>
      <c r="B187" t="s">
        <v>150</v>
      </c>
      <c r="C187" s="3">
        <v>42333</v>
      </c>
      <c r="D187" t="s">
        <v>105</v>
      </c>
      <c r="E187" t="s">
        <v>34</v>
      </c>
      <c r="F187">
        <v>3800</v>
      </c>
      <c r="G187">
        <v>14.32</v>
      </c>
      <c r="H187">
        <v>32</v>
      </c>
      <c r="I187">
        <v>0.2</v>
      </c>
      <c r="J187">
        <v>6.11</v>
      </c>
      <c r="K187">
        <v>22.53</v>
      </c>
      <c r="L187">
        <v>14.32</v>
      </c>
    </row>
    <row r="188" spans="1:12" x14ac:dyDescent="0.25">
      <c r="A188" t="s">
        <v>31</v>
      </c>
      <c r="B188" t="s">
        <v>328</v>
      </c>
      <c r="C188" s="3">
        <v>42333</v>
      </c>
      <c r="D188" t="s">
        <v>47</v>
      </c>
      <c r="E188" t="s">
        <v>39</v>
      </c>
      <c r="F188">
        <v>6700</v>
      </c>
      <c r="G188">
        <v>28.69</v>
      </c>
      <c r="H188">
        <v>54.8</v>
      </c>
      <c r="I188">
        <v>13.7</v>
      </c>
      <c r="J188">
        <v>17.13</v>
      </c>
      <c r="K188">
        <v>40.25</v>
      </c>
      <c r="L188">
        <v>28.69</v>
      </c>
    </row>
    <row r="189" spans="1:12" x14ac:dyDescent="0.25">
      <c r="A189" t="s">
        <v>29</v>
      </c>
      <c r="B189" t="s">
        <v>329</v>
      </c>
      <c r="C189" s="3">
        <v>42333</v>
      </c>
      <c r="D189" t="s">
        <v>46</v>
      </c>
      <c r="E189" t="s">
        <v>108</v>
      </c>
      <c r="F189">
        <v>3500</v>
      </c>
      <c r="G189">
        <v>9.19</v>
      </c>
      <c r="H189">
        <v>29.9</v>
      </c>
      <c r="I189">
        <v>2.7</v>
      </c>
      <c r="J189">
        <v>1.79</v>
      </c>
      <c r="K189">
        <v>16.59</v>
      </c>
      <c r="L189">
        <v>9.19</v>
      </c>
    </row>
    <row r="190" spans="1:12" x14ac:dyDescent="0.25">
      <c r="A190" t="s">
        <v>30</v>
      </c>
      <c r="B190" t="s">
        <v>151</v>
      </c>
      <c r="C190" s="3">
        <v>42333</v>
      </c>
      <c r="D190" t="s">
        <v>98</v>
      </c>
      <c r="E190" t="s">
        <v>41</v>
      </c>
      <c r="F190">
        <v>4600</v>
      </c>
      <c r="G190">
        <v>19.28</v>
      </c>
      <c r="H190">
        <v>45.9</v>
      </c>
      <c r="I190">
        <v>8.9</v>
      </c>
      <c r="J190">
        <v>9.9</v>
      </c>
      <c r="K190">
        <v>28.67</v>
      </c>
      <c r="L190">
        <v>19.285</v>
      </c>
    </row>
    <row r="191" spans="1:12" x14ac:dyDescent="0.25">
      <c r="A191" t="s">
        <v>27</v>
      </c>
      <c r="B191" t="s">
        <v>330</v>
      </c>
      <c r="C191" s="3">
        <v>42333</v>
      </c>
      <c r="D191" t="s">
        <v>198</v>
      </c>
      <c r="E191" t="s">
        <v>40</v>
      </c>
      <c r="F191">
        <v>8600</v>
      </c>
      <c r="G191">
        <v>38.44</v>
      </c>
      <c r="H191">
        <v>54</v>
      </c>
      <c r="I191">
        <v>22.3</v>
      </c>
      <c r="J191">
        <v>30.12</v>
      </c>
      <c r="K191">
        <v>46.75</v>
      </c>
      <c r="L191">
        <v>38.435000000000002</v>
      </c>
    </row>
    <row r="192" spans="1:12" x14ac:dyDescent="0.25">
      <c r="A192" t="s">
        <v>28</v>
      </c>
      <c r="B192" t="s">
        <v>331</v>
      </c>
      <c r="C192" s="3">
        <v>42333</v>
      </c>
      <c r="D192" t="s">
        <v>47</v>
      </c>
      <c r="E192" t="s">
        <v>39</v>
      </c>
      <c r="F192">
        <v>3500</v>
      </c>
      <c r="G192">
        <v>13.23</v>
      </c>
      <c r="H192">
        <v>30.7</v>
      </c>
      <c r="I192">
        <v>-1</v>
      </c>
      <c r="J192">
        <v>3.68</v>
      </c>
      <c r="K192">
        <v>22.79</v>
      </c>
      <c r="L192">
        <v>13.234999999999999</v>
      </c>
    </row>
    <row r="193" spans="1:12" x14ac:dyDescent="0.25">
      <c r="A193" t="s">
        <v>29</v>
      </c>
      <c r="B193" t="s">
        <v>332</v>
      </c>
      <c r="C193" s="3">
        <v>42333</v>
      </c>
      <c r="D193" t="s">
        <v>44</v>
      </c>
      <c r="E193" t="s">
        <v>202</v>
      </c>
      <c r="F193">
        <v>3500</v>
      </c>
      <c r="G193">
        <v>5.76</v>
      </c>
      <c r="H193">
        <v>12.6</v>
      </c>
      <c r="I193">
        <v>-1</v>
      </c>
      <c r="J193">
        <v>1.4</v>
      </c>
      <c r="K193">
        <v>10.119999999999999</v>
      </c>
      <c r="L193">
        <v>5.76</v>
      </c>
    </row>
    <row r="194" spans="1:12" x14ac:dyDescent="0.25">
      <c r="A194" t="s">
        <v>30</v>
      </c>
      <c r="B194" t="s">
        <v>152</v>
      </c>
      <c r="C194" s="3">
        <v>42333</v>
      </c>
      <c r="D194" t="s">
        <v>98</v>
      </c>
      <c r="E194" t="s">
        <v>41</v>
      </c>
      <c r="F194">
        <v>3500</v>
      </c>
      <c r="G194">
        <v>11.24</v>
      </c>
      <c r="H194">
        <v>22.7</v>
      </c>
      <c r="I194">
        <v>3.2</v>
      </c>
      <c r="J194">
        <v>4.8899999999999997</v>
      </c>
      <c r="K194">
        <v>17.579999999999998</v>
      </c>
      <c r="L194">
        <v>11.234999999999999</v>
      </c>
    </row>
    <row r="195" spans="1:12" x14ac:dyDescent="0.25">
      <c r="A195" t="s">
        <v>31</v>
      </c>
      <c r="B195" t="s">
        <v>333</v>
      </c>
      <c r="C195" s="3">
        <v>42333</v>
      </c>
      <c r="D195" t="s">
        <v>46</v>
      </c>
      <c r="E195" t="s">
        <v>108</v>
      </c>
      <c r="F195">
        <v>7800</v>
      </c>
      <c r="G195">
        <v>30.38</v>
      </c>
      <c r="H195">
        <v>50.3</v>
      </c>
      <c r="I195">
        <v>16.7</v>
      </c>
      <c r="J195">
        <v>21.24</v>
      </c>
      <c r="K195">
        <v>39.520000000000003</v>
      </c>
      <c r="L195">
        <v>30.38</v>
      </c>
    </row>
    <row r="196" spans="1:12" x14ac:dyDescent="0.25">
      <c r="A196" t="s">
        <v>30</v>
      </c>
      <c r="B196" t="s">
        <v>153</v>
      </c>
      <c r="C196" s="3">
        <v>42333</v>
      </c>
      <c r="D196" t="s">
        <v>102</v>
      </c>
      <c r="E196" t="s">
        <v>43</v>
      </c>
      <c r="F196">
        <v>3500</v>
      </c>
      <c r="G196">
        <v>10.11</v>
      </c>
      <c r="H196">
        <v>22</v>
      </c>
      <c r="I196">
        <v>-1</v>
      </c>
      <c r="J196">
        <v>3.49</v>
      </c>
      <c r="K196">
        <v>16.73</v>
      </c>
      <c r="L196">
        <v>10.11</v>
      </c>
    </row>
    <row r="197" spans="1:12" x14ac:dyDescent="0.25">
      <c r="A197" t="s">
        <v>29</v>
      </c>
      <c r="B197" t="s">
        <v>334</v>
      </c>
      <c r="C197" s="3">
        <v>42333</v>
      </c>
      <c r="D197" t="s">
        <v>47</v>
      </c>
      <c r="E197" t="s">
        <v>39</v>
      </c>
      <c r="F197">
        <v>3500</v>
      </c>
      <c r="G197">
        <v>9.2899999999999991</v>
      </c>
      <c r="H197">
        <v>20.6</v>
      </c>
      <c r="I197">
        <v>0.2</v>
      </c>
      <c r="J197">
        <v>2.71</v>
      </c>
      <c r="K197">
        <v>15.87</v>
      </c>
      <c r="L197">
        <v>9.2899999999999991</v>
      </c>
    </row>
    <row r="198" spans="1:12" x14ac:dyDescent="0.25">
      <c r="A198" t="s">
        <v>30</v>
      </c>
      <c r="B198" t="s">
        <v>335</v>
      </c>
      <c r="C198" s="3">
        <v>42333</v>
      </c>
      <c r="D198" t="s">
        <v>47</v>
      </c>
      <c r="E198" t="s">
        <v>39</v>
      </c>
      <c r="F198">
        <v>4500</v>
      </c>
      <c r="G198">
        <v>20.18</v>
      </c>
      <c r="H198">
        <v>31.4</v>
      </c>
      <c r="I198">
        <v>4</v>
      </c>
      <c r="J198">
        <v>13.67</v>
      </c>
      <c r="K198">
        <v>26.69</v>
      </c>
      <c r="L198">
        <v>20.18</v>
      </c>
    </row>
    <row r="199" spans="1:12" x14ac:dyDescent="0.25">
      <c r="A199" t="s">
        <v>29</v>
      </c>
      <c r="B199" t="s">
        <v>336</v>
      </c>
      <c r="C199" s="3">
        <v>42333</v>
      </c>
      <c r="D199" t="s">
        <v>40</v>
      </c>
      <c r="E199" t="s">
        <v>198</v>
      </c>
      <c r="F199">
        <v>10100</v>
      </c>
      <c r="G199">
        <v>45.43</v>
      </c>
      <c r="H199">
        <v>59.9</v>
      </c>
      <c r="I199">
        <v>30.9</v>
      </c>
      <c r="J199">
        <v>37.29</v>
      </c>
      <c r="K199">
        <v>53.56</v>
      </c>
      <c r="L199">
        <v>45.424999999999997</v>
      </c>
    </row>
    <row r="200" spans="1:12" x14ac:dyDescent="0.25">
      <c r="A200" t="s">
        <v>31</v>
      </c>
      <c r="B200" t="s">
        <v>337</v>
      </c>
      <c r="C200" s="3">
        <v>42333</v>
      </c>
      <c r="D200" t="s">
        <v>47</v>
      </c>
      <c r="E200" t="s">
        <v>39</v>
      </c>
      <c r="F200">
        <v>3500</v>
      </c>
      <c r="G200">
        <v>7.07</v>
      </c>
      <c r="H200">
        <v>19.3</v>
      </c>
      <c r="I200">
        <v>0.5</v>
      </c>
      <c r="J200">
        <v>0.99</v>
      </c>
      <c r="K200">
        <v>13.16</v>
      </c>
      <c r="L200">
        <v>7.0750000000000002</v>
      </c>
    </row>
    <row r="201" spans="1:12" x14ac:dyDescent="0.25">
      <c r="A201" t="s">
        <v>29</v>
      </c>
      <c r="B201" t="s">
        <v>154</v>
      </c>
      <c r="C201" s="3">
        <v>42333</v>
      </c>
      <c r="D201" t="s">
        <v>102</v>
      </c>
      <c r="E201" t="s">
        <v>43</v>
      </c>
      <c r="F201">
        <v>3500</v>
      </c>
      <c r="G201">
        <v>5.13</v>
      </c>
      <c r="H201">
        <v>13.4</v>
      </c>
      <c r="I201">
        <v>1.5</v>
      </c>
      <c r="J201">
        <v>1.51</v>
      </c>
      <c r="K201">
        <v>8.75</v>
      </c>
      <c r="L201">
        <v>5.13</v>
      </c>
    </row>
    <row r="202" spans="1:12" x14ac:dyDescent="0.25">
      <c r="A202" t="s">
        <v>28</v>
      </c>
      <c r="B202" t="s">
        <v>338</v>
      </c>
      <c r="C202" s="3">
        <v>42333</v>
      </c>
      <c r="D202" t="s">
        <v>198</v>
      </c>
      <c r="E202" t="s">
        <v>40</v>
      </c>
      <c r="F202">
        <v>3500</v>
      </c>
      <c r="G202">
        <v>3.5</v>
      </c>
      <c r="H202">
        <v>5</v>
      </c>
      <c r="I202">
        <v>2</v>
      </c>
      <c r="J202">
        <v>2</v>
      </c>
      <c r="K202">
        <v>5</v>
      </c>
      <c r="L202">
        <v>3.5</v>
      </c>
    </row>
    <row r="203" spans="1:12" x14ac:dyDescent="0.25">
      <c r="A203" t="s">
        <v>31</v>
      </c>
      <c r="B203" t="s">
        <v>339</v>
      </c>
      <c r="C203" s="3">
        <v>42333</v>
      </c>
      <c r="D203" t="s">
        <v>198</v>
      </c>
      <c r="E203" t="s">
        <v>40</v>
      </c>
      <c r="F203">
        <v>4600</v>
      </c>
      <c r="G203">
        <v>20.65</v>
      </c>
      <c r="H203">
        <v>38.9</v>
      </c>
      <c r="I203">
        <v>7.6</v>
      </c>
      <c r="J203">
        <v>11.93</v>
      </c>
      <c r="K203">
        <v>29.37</v>
      </c>
      <c r="L203">
        <v>20.65</v>
      </c>
    </row>
    <row r="204" spans="1:12" x14ac:dyDescent="0.25">
      <c r="A204" t="s">
        <v>29</v>
      </c>
      <c r="B204" t="s">
        <v>340</v>
      </c>
      <c r="C204" s="3">
        <v>42333</v>
      </c>
      <c r="D204" t="s">
        <v>193</v>
      </c>
      <c r="E204" t="s">
        <v>45</v>
      </c>
      <c r="F204">
        <v>3500</v>
      </c>
      <c r="G204">
        <v>12.56</v>
      </c>
      <c r="H204">
        <v>21.1</v>
      </c>
      <c r="I204">
        <v>5.5</v>
      </c>
      <c r="J204">
        <v>7.49</v>
      </c>
      <c r="K204">
        <v>17.64</v>
      </c>
      <c r="L204">
        <v>12.565</v>
      </c>
    </row>
    <row r="205" spans="1:12" x14ac:dyDescent="0.25">
      <c r="A205" t="s">
        <v>29</v>
      </c>
      <c r="B205" t="s">
        <v>341</v>
      </c>
      <c r="C205" s="3">
        <v>42333</v>
      </c>
      <c r="D205" t="s">
        <v>33</v>
      </c>
      <c r="E205" t="s">
        <v>35</v>
      </c>
      <c r="F205">
        <v>5000</v>
      </c>
      <c r="G205">
        <v>18.91</v>
      </c>
      <c r="H205">
        <v>30.8</v>
      </c>
      <c r="I205">
        <v>9.4</v>
      </c>
      <c r="J205">
        <v>12.36</v>
      </c>
      <c r="K205">
        <v>25.46</v>
      </c>
      <c r="L205">
        <v>18.91</v>
      </c>
    </row>
    <row r="206" spans="1:12" x14ac:dyDescent="0.25">
      <c r="A206" t="s">
        <v>30</v>
      </c>
      <c r="B206" t="s">
        <v>342</v>
      </c>
      <c r="C206" s="3">
        <v>42333</v>
      </c>
      <c r="D206" t="s">
        <v>46</v>
      </c>
      <c r="E206" t="s">
        <v>108</v>
      </c>
      <c r="F206">
        <v>4800</v>
      </c>
      <c r="G206">
        <v>22.19</v>
      </c>
      <c r="H206">
        <v>30.1</v>
      </c>
      <c r="I206">
        <v>9.5</v>
      </c>
      <c r="J206">
        <v>16.260000000000002</v>
      </c>
      <c r="K206">
        <v>28.12</v>
      </c>
      <c r="L206">
        <v>22.19</v>
      </c>
    </row>
    <row r="207" spans="1:12" x14ac:dyDescent="0.25">
      <c r="A207" t="s">
        <v>28</v>
      </c>
      <c r="B207" t="s">
        <v>95</v>
      </c>
      <c r="C207" s="3">
        <v>42333</v>
      </c>
      <c r="D207" t="s">
        <v>107</v>
      </c>
      <c r="E207" t="s">
        <v>219</v>
      </c>
      <c r="F207">
        <v>7800</v>
      </c>
      <c r="G207">
        <v>30.81</v>
      </c>
      <c r="H207">
        <v>51.7</v>
      </c>
      <c r="I207">
        <v>14.4</v>
      </c>
      <c r="J207">
        <v>21.09</v>
      </c>
      <c r="K207">
        <v>40.53</v>
      </c>
      <c r="L207">
        <v>30.81</v>
      </c>
    </row>
    <row r="208" spans="1:12" x14ac:dyDescent="0.25">
      <c r="A208" t="s">
        <v>28</v>
      </c>
      <c r="B208" t="s">
        <v>155</v>
      </c>
      <c r="C208" s="3">
        <v>42333</v>
      </c>
      <c r="D208" t="s">
        <v>105</v>
      </c>
      <c r="E208" t="s">
        <v>34</v>
      </c>
      <c r="F208">
        <v>5800</v>
      </c>
      <c r="G208">
        <v>24.13</v>
      </c>
      <c r="H208">
        <v>34.1</v>
      </c>
      <c r="I208">
        <v>14.5</v>
      </c>
      <c r="J208">
        <v>18.71</v>
      </c>
      <c r="K208">
        <v>29.55</v>
      </c>
      <c r="L208">
        <v>24.13</v>
      </c>
    </row>
    <row r="209" spans="1:12" x14ac:dyDescent="0.25">
      <c r="A209" t="s">
        <v>30</v>
      </c>
      <c r="B209" t="s">
        <v>343</v>
      </c>
      <c r="C209" s="3">
        <v>42333</v>
      </c>
      <c r="D209" t="s">
        <v>32</v>
      </c>
      <c r="E209" t="s">
        <v>48</v>
      </c>
      <c r="F209">
        <v>3900</v>
      </c>
      <c r="G209">
        <v>18.59</v>
      </c>
      <c r="H209">
        <v>26.6</v>
      </c>
      <c r="I209">
        <v>8</v>
      </c>
      <c r="J209">
        <v>12.45</v>
      </c>
      <c r="K209">
        <v>24.72</v>
      </c>
      <c r="L209">
        <v>18.585000000000001</v>
      </c>
    </row>
    <row r="210" spans="1:12" x14ac:dyDescent="0.25">
      <c r="A210" t="s">
        <v>29</v>
      </c>
      <c r="B210" t="s">
        <v>344</v>
      </c>
      <c r="C210" s="3">
        <v>42333</v>
      </c>
      <c r="D210" t="s">
        <v>35</v>
      </c>
      <c r="E210" t="s">
        <v>33</v>
      </c>
      <c r="F210">
        <v>5900</v>
      </c>
      <c r="G210">
        <v>26.83</v>
      </c>
      <c r="H210">
        <v>38.299999999999997</v>
      </c>
      <c r="I210">
        <v>8.5</v>
      </c>
      <c r="J210">
        <v>17.75</v>
      </c>
      <c r="K210">
        <v>35.92</v>
      </c>
      <c r="L210">
        <v>26.835000000000001</v>
      </c>
    </row>
    <row r="211" spans="1:12" x14ac:dyDescent="0.25">
      <c r="A211" t="s">
        <v>27</v>
      </c>
      <c r="B211" t="s">
        <v>156</v>
      </c>
      <c r="C211" s="3">
        <v>42333</v>
      </c>
      <c r="D211" t="s">
        <v>99</v>
      </c>
      <c r="E211" t="s">
        <v>42</v>
      </c>
      <c r="F211">
        <v>5300</v>
      </c>
      <c r="G211">
        <v>19.21</v>
      </c>
      <c r="H211">
        <v>32.9</v>
      </c>
      <c r="I211">
        <v>9.3000000000000007</v>
      </c>
      <c r="J211">
        <v>10.58</v>
      </c>
      <c r="K211">
        <v>27.85</v>
      </c>
      <c r="L211">
        <v>19.215</v>
      </c>
    </row>
    <row r="212" spans="1:12" x14ac:dyDescent="0.25">
      <c r="A212" t="s">
        <v>30</v>
      </c>
      <c r="B212" t="s">
        <v>345</v>
      </c>
      <c r="C212" s="3">
        <v>42333</v>
      </c>
      <c r="D212" t="s">
        <v>219</v>
      </c>
      <c r="E212" t="s">
        <v>107</v>
      </c>
      <c r="F212">
        <v>4100</v>
      </c>
      <c r="G212">
        <v>20.079999999999998</v>
      </c>
      <c r="H212">
        <v>45.1</v>
      </c>
      <c r="I212">
        <v>6.9</v>
      </c>
      <c r="J212">
        <v>9.0299999999999994</v>
      </c>
      <c r="K212">
        <v>31.12</v>
      </c>
      <c r="L212">
        <v>20.074999999999999</v>
      </c>
    </row>
    <row r="213" spans="1:12" x14ac:dyDescent="0.25">
      <c r="A213" t="s">
        <v>27</v>
      </c>
      <c r="B213" t="s">
        <v>157</v>
      </c>
      <c r="C213" s="3">
        <v>42333</v>
      </c>
      <c r="D213" t="s">
        <v>107</v>
      </c>
      <c r="E213" t="s">
        <v>219</v>
      </c>
      <c r="F213">
        <v>4300</v>
      </c>
      <c r="G213">
        <v>19.03</v>
      </c>
      <c r="H213">
        <v>33.9</v>
      </c>
      <c r="I213">
        <v>6.7</v>
      </c>
      <c r="J213">
        <v>11.24</v>
      </c>
      <c r="K213">
        <v>26.81</v>
      </c>
      <c r="L213">
        <v>19.024999999999999</v>
      </c>
    </row>
    <row r="214" spans="1:12" x14ac:dyDescent="0.25">
      <c r="A214" t="s">
        <v>29</v>
      </c>
      <c r="B214" t="s">
        <v>346</v>
      </c>
      <c r="C214" s="3">
        <v>42333</v>
      </c>
      <c r="D214" t="s">
        <v>39</v>
      </c>
      <c r="E214" t="s">
        <v>47</v>
      </c>
      <c r="F214">
        <v>3500</v>
      </c>
      <c r="G214">
        <v>7.07</v>
      </c>
      <c r="H214">
        <v>13.6</v>
      </c>
      <c r="I214">
        <v>-1</v>
      </c>
      <c r="J214">
        <v>2.75</v>
      </c>
      <c r="K214">
        <v>11.39</v>
      </c>
      <c r="L214">
        <v>7.07</v>
      </c>
    </row>
    <row r="215" spans="1:12" x14ac:dyDescent="0.25">
      <c r="A215" t="s">
        <v>30</v>
      </c>
      <c r="B215" t="s">
        <v>347</v>
      </c>
      <c r="C215" s="3">
        <v>42333</v>
      </c>
      <c r="D215" t="s">
        <v>202</v>
      </c>
      <c r="E215" t="s">
        <v>44</v>
      </c>
      <c r="F215">
        <v>3500</v>
      </c>
      <c r="G215">
        <v>7.3</v>
      </c>
      <c r="H215">
        <v>14.4</v>
      </c>
      <c r="I215">
        <v>3</v>
      </c>
      <c r="J215">
        <v>3.02</v>
      </c>
      <c r="K215">
        <v>11.58</v>
      </c>
      <c r="L215">
        <v>7.3</v>
      </c>
    </row>
    <row r="216" spans="1:12" x14ac:dyDescent="0.25">
      <c r="A216" t="s">
        <v>31</v>
      </c>
      <c r="B216" t="s">
        <v>348</v>
      </c>
      <c r="C216" s="3">
        <v>42333</v>
      </c>
      <c r="D216" t="s">
        <v>45</v>
      </c>
      <c r="E216" t="s">
        <v>193</v>
      </c>
      <c r="F216">
        <v>5800</v>
      </c>
      <c r="G216">
        <v>23.35</v>
      </c>
      <c r="H216">
        <v>39.6</v>
      </c>
      <c r="I216">
        <v>7.2</v>
      </c>
      <c r="J216">
        <v>14.13</v>
      </c>
      <c r="K216">
        <v>32.57</v>
      </c>
      <c r="L216">
        <v>23.35</v>
      </c>
    </row>
    <row r="217" spans="1:12" x14ac:dyDescent="0.25">
      <c r="A217" t="s">
        <v>31</v>
      </c>
      <c r="B217" t="s">
        <v>349</v>
      </c>
      <c r="C217" s="3">
        <v>42333</v>
      </c>
      <c r="D217" t="s">
        <v>34</v>
      </c>
      <c r="E217" t="s">
        <v>105</v>
      </c>
      <c r="F217">
        <v>4900</v>
      </c>
      <c r="G217">
        <v>23.48</v>
      </c>
      <c r="H217">
        <v>35.4</v>
      </c>
      <c r="I217">
        <v>8.6999999999999993</v>
      </c>
      <c r="J217">
        <v>16.03</v>
      </c>
      <c r="K217">
        <v>30.93</v>
      </c>
      <c r="L217">
        <v>23.48</v>
      </c>
    </row>
    <row r="218" spans="1:12" x14ac:dyDescent="0.25">
      <c r="A218" t="s">
        <v>29</v>
      </c>
      <c r="B218" t="s">
        <v>158</v>
      </c>
      <c r="C218" s="3">
        <v>42333</v>
      </c>
      <c r="D218" t="s">
        <v>107</v>
      </c>
      <c r="E218" t="s">
        <v>219</v>
      </c>
      <c r="F218">
        <v>3800</v>
      </c>
      <c r="G218">
        <v>15.93</v>
      </c>
      <c r="H218">
        <v>28.9</v>
      </c>
      <c r="I218">
        <v>1.2</v>
      </c>
      <c r="J218">
        <v>7.31</v>
      </c>
      <c r="K218">
        <v>24.55</v>
      </c>
      <c r="L218">
        <v>15.93</v>
      </c>
    </row>
    <row r="219" spans="1:12" x14ac:dyDescent="0.25">
      <c r="A219" t="s">
        <v>28</v>
      </c>
      <c r="B219" t="s">
        <v>350</v>
      </c>
      <c r="C219" s="3">
        <v>42333</v>
      </c>
      <c r="D219" t="s">
        <v>46</v>
      </c>
      <c r="E219" t="s">
        <v>108</v>
      </c>
      <c r="F219">
        <v>3500</v>
      </c>
      <c r="G219">
        <v>1.1000000000000001</v>
      </c>
      <c r="H219">
        <v>1.2</v>
      </c>
      <c r="I219">
        <v>1</v>
      </c>
      <c r="J219">
        <v>1</v>
      </c>
      <c r="K219">
        <v>1.2</v>
      </c>
      <c r="L219">
        <v>1.1000000000000001</v>
      </c>
    </row>
    <row r="220" spans="1:12" x14ac:dyDescent="0.25">
      <c r="A220" t="s">
        <v>27</v>
      </c>
      <c r="B220" t="s">
        <v>351</v>
      </c>
      <c r="C220" s="3">
        <v>42333</v>
      </c>
      <c r="D220" t="s">
        <v>40</v>
      </c>
      <c r="E220" t="s">
        <v>198</v>
      </c>
      <c r="F220">
        <v>4400</v>
      </c>
      <c r="G220">
        <v>19.71</v>
      </c>
      <c r="H220">
        <v>30.5</v>
      </c>
      <c r="I220">
        <v>8.5</v>
      </c>
      <c r="J220">
        <v>13.32</v>
      </c>
      <c r="K220">
        <v>26.09</v>
      </c>
      <c r="L220">
        <v>19.704999999999998</v>
      </c>
    </row>
    <row r="221" spans="1:12" x14ac:dyDescent="0.25">
      <c r="A221" t="s">
        <v>27</v>
      </c>
      <c r="B221" t="s">
        <v>352</v>
      </c>
      <c r="C221" s="3">
        <v>42333</v>
      </c>
      <c r="D221" t="s">
        <v>48</v>
      </c>
      <c r="E221" t="s">
        <v>32</v>
      </c>
      <c r="F221">
        <v>6200</v>
      </c>
      <c r="G221">
        <v>24.74</v>
      </c>
      <c r="H221">
        <v>39.700000000000003</v>
      </c>
      <c r="I221">
        <v>9.1999999999999993</v>
      </c>
      <c r="J221">
        <v>14.46</v>
      </c>
      <c r="K221">
        <v>35.020000000000003</v>
      </c>
      <c r="L221">
        <v>24.74</v>
      </c>
    </row>
    <row r="222" spans="1:12" x14ac:dyDescent="0.25">
      <c r="A222" t="s">
        <v>27</v>
      </c>
      <c r="B222" t="s">
        <v>159</v>
      </c>
      <c r="C222" s="3">
        <v>42333</v>
      </c>
      <c r="D222" t="s">
        <v>107</v>
      </c>
      <c r="E222" t="s">
        <v>219</v>
      </c>
      <c r="F222">
        <v>6900</v>
      </c>
      <c r="G222">
        <v>29.77</v>
      </c>
      <c r="H222">
        <v>44.3</v>
      </c>
      <c r="I222">
        <v>11.9</v>
      </c>
      <c r="J222">
        <v>21.55</v>
      </c>
      <c r="K222">
        <v>38</v>
      </c>
      <c r="L222">
        <v>29.774999999999999</v>
      </c>
    </row>
    <row r="223" spans="1:12" x14ac:dyDescent="0.25">
      <c r="A223" t="s">
        <v>31</v>
      </c>
      <c r="B223" t="s">
        <v>160</v>
      </c>
      <c r="C223" s="3">
        <v>42333</v>
      </c>
      <c r="D223" t="s">
        <v>98</v>
      </c>
      <c r="E223" t="s">
        <v>41</v>
      </c>
      <c r="F223">
        <v>3500</v>
      </c>
      <c r="G223">
        <v>8.36</v>
      </c>
      <c r="H223">
        <v>12.6</v>
      </c>
      <c r="I223">
        <v>0.2</v>
      </c>
      <c r="J223">
        <v>4.66</v>
      </c>
      <c r="K223">
        <v>12.06</v>
      </c>
      <c r="L223">
        <v>8.36</v>
      </c>
    </row>
    <row r="224" spans="1:12" x14ac:dyDescent="0.25">
      <c r="A224" t="s">
        <v>29</v>
      </c>
      <c r="B224" t="s">
        <v>161</v>
      </c>
      <c r="C224" s="3">
        <v>42333</v>
      </c>
      <c r="D224" t="s">
        <v>98</v>
      </c>
      <c r="E224" t="s">
        <v>41</v>
      </c>
      <c r="F224">
        <v>3500</v>
      </c>
      <c r="G224">
        <v>8.9600000000000009</v>
      </c>
      <c r="H224">
        <v>14.8</v>
      </c>
      <c r="I224">
        <v>4.7</v>
      </c>
      <c r="J224">
        <v>5.47</v>
      </c>
      <c r="K224">
        <v>12.45</v>
      </c>
      <c r="L224">
        <v>8.9600000000000009</v>
      </c>
    </row>
    <row r="225" spans="1:12" x14ac:dyDescent="0.25">
      <c r="A225" t="s">
        <v>28</v>
      </c>
      <c r="B225" t="s">
        <v>353</v>
      </c>
      <c r="C225" s="3">
        <v>42333</v>
      </c>
      <c r="D225" t="s">
        <v>48</v>
      </c>
      <c r="E225" t="s">
        <v>32</v>
      </c>
      <c r="F225">
        <v>3500</v>
      </c>
      <c r="G225">
        <v>5.73</v>
      </c>
      <c r="H225">
        <v>20.6</v>
      </c>
      <c r="I225">
        <v>0.2</v>
      </c>
      <c r="J225">
        <v>-0.46</v>
      </c>
      <c r="K225">
        <v>11.92</v>
      </c>
      <c r="L225">
        <v>5.73</v>
      </c>
    </row>
    <row r="226" spans="1:12" x14ac:dyDescent="0.25">
      <c r="A226" t="s">
        <v>31</v>
      </c>
      <c r="B226" t="s">
        <v>354</v>
      </c>
      <c r="C226" s="3">
        <v>42333</v>
      </c>
      <c r="D226" t="s">
        <v>45</v>
      </c>
      <c r="E226" t="s">
        <v>193</v>
      </c>
      <c r="F226">
        <v>3800</v>
      </c>
      <c r="G226">
        <v>13.9</v>
      </c>
      <c r="H226">
        <v>25.5</v>
      </c>
      <c r="I226">
        <v>2</v>
      </c>
      <c r="J226">
        <v>6.08</v>
      </c>
      <c r="K226">
        <v>21.72</v>
      </c>
      <c r="L226">
        <v>13.9</v>
      </c>
    </row>
    <row r="227" spans="1:12" x14ac:dyDescent="0.25">
      <c r="A227" t="s">
        <v>31</v>
      </c>
      <c r="B227" t="s">
        <v>355</v>
      </c>
      <c r="C227" s="3">
        <v>42333</v>
      </c>
      <c r="D227" t="s">
        <v>44</v>
      </c>
      <c r="E227" t="s">
        <v>202</v>
      </c>
      <c r="F227">
        <v>3500</v>
      </c>
      <c r="G227">
        <v>3.96</v>
      </c>
      <c r="H227">
        <v>11.3</v>
      </c>
      <c r="I227">
        <v>-2</v>
      </c>
      <c r="J227">
        <v>-0.33</v>
      </c>
      <c r="K227">
        <v>8.25</v>
      </c>
      <c r="L227">
        <v>3.96</v>
      </c>
    </row>
    <row r="228" spans="1:12" x14ac:dyDescent="0.25">
      <c r="A228" t="s">
        <v>27</v>
      </c>
      <c r="B228" t="s">
        <v>356</v>
      </c>
      <c r="C228" s="3">
        <v>42333</v>
      </c>
      <c r="D228" t="s">
        <v>40</v>
      </c>
      <c r="E228" t="s">
        <v>198</v>
      </c>
      <c r="F228">
        <v>6200</v>
      </c>
      <c r="G228">
        <v>26.87</v>
      </c>
      <c r="H228">
        <v>44.2</v>
      </c>
      <c r="I228">
        <v>11.5</v>
      </c>
      <c r="J228">
        <v>17.16</v>
      </c>
      <c r="K228">
        <v>36.590000000000003</v>
      </c>
      <c r="L228">
        <v>26.875</v>
      </c>
    </row>
    <row r="229" spans="1:12" x14ac:dyDescent="0.25">
      <c r="A229" t="s">
        <v>31</v>
      </c>
      <c r="B229" t="s">
        <v>357</v>
      </c>
      <c r="C229" s="3">
        <v>42333</v>
      </c>
      <c r="D229" t="s">
        <v>219</v>
      </c>
      <c r="E229" t="s">
        <v>107</v>
      </c>
      <c r="F229">
        <v>3500</v>
      </c>
      <c r="G229">
        <v>7.65</v>
      </c>
      <c r="H229">
        <v>22.6</v>
      </c>
      <c r="I229">
        <v>-0.8</v>
      </c>
      <c r="J229">
        <v>0.82</v>
      </c>
      <c r="K229">
        <v>14.48</v>
      </c>
      <c r="L229">
        <v>7.65</v>
      </c>
    </row>
    <row r="230" spans="1:12" x14ac:dyDescent="0.25">
      <c r="A230" t="s">
        <v>29</v>
      </c>
      <c r="B230" t="s">
        <v>358</v>
      </c>
      <c r="C230" s="3">
        <v>42333</v>
      </c>
      <c r="D230" t="s">
        <v>41</v>
      </c>
      <c r="E230" t="s">
        <v>98</v>
      </c>
      <c r="F230">
        <v>4000</v>
      </c>
      <c r="G230">
        <v>18.62</v>
      </c>
      <c r="H230">
        <v>39.700000000000003</v>
      </c>
      <c r="I230">
        <v>5.2</v>
      </c>
      <c r="J230">
        <v>9.51</v>
      </c>
      <c r="K230">
        <v>27.73</v>
      </c>
      <c r="L230">
        <v>18.62</v>
      </c>
    </row>
    <row r="231" spans="1:12" x14ac:dyDescent="0.25">
      <c r="A231" t="s">
        <v>31</v>
      </c>
      <c r="B231" t="s">
        <v>162</v>
      </c>
      <c r="C231" s="3">
        <v>42333</v>
      </c>
      <c r="D231" t="s">
        <v>105</v>
      </c>
      <c r="E231" t="s">
        <v>34</v>
      </c>
      <c r="F231">
        <v>4300</v>
      </c>
      <c r="G231">
        <v>19</v>
      </c>
      <c r="H231">
        <v>31.5</v>
      </c>
      <c r="I231">
        <v>5.9</v>
      </c>
      <c r="J231">
        <v>10.199999999999999</v>
      </c>
      <c r="K231">
        <v>27.8</v>
      </c>
      <c r="L231">
        <v>19</v>
      </c>
    </row>
    <row r="232" spans="1:12" x14ac:dyDescent="0.25">
      <c r="A232" t="s">
        <v>31</v>
      </c>
      <c r="B232" t="s">
        <v>359</v>
      </c>
      <c r="C232" s="3">
        <v>42333</v>
      </c>
      <c r="D232" t="s">
        <v>42</v>
      </c>
      <c r="E232" t="s">
        <v>99</v>
      </c>
      <c r="F232">
        <v>6300</v>
      </c>
      <c r="G232">
        <v>24.6</v>
      </c>
      <c r="H232">
        <v>46.4</v>
      </c>
      <c r="I232">
        <v>3.6</v>
      </c>
      <c r="J232">
        <v>12.65</v>
      </c>
      <c r="K232">
        <v>36.549999999999997</v>
      </c>
      <c r="L232">
        <v>24.6</v>
      </c>
    </row>
    <row r="233" spans="1:12" x14ac:dyDescent="0.25">
      <c r="A233" t="s">
        <v>31</v>
      </c>
      <c r="B233" t="s">
        <v>360</v>
      </c>
      <c r="C233" s="3">
        <v>42333</v>
      </c>
      <c r="D233" t="s">
        <v>44</v>
      </c>
      <c r="E233" t="s">
        <v>202</v>
      </c>
      <c r="F233">
        <v>3500</v>
      </c>
      <c r="G233">
        <v>9.8699999999999992</v>
      </c>
      <c r="H233">
        <v>18.899999999999999</v>
      </c>
      <c r="I233">
        <v>-1</v>
      </c>
      <c r="J233">
        <v>3.13</v>
      </c>
      <c r="K233">
        <v>16.61</v>
      </c>
      <c r="L233">
        <v>9.8699999999999992</v>
      </c>
    </row>
    <row r="234" spans="1:12" x14ac:dyDescent="0.25">
      <c r="A234" t="s">
        <v>29</v>
      </c>
      <c r="B234" t="s">
        <v>361</v>
      </c>
      <c r="C234" s="3">
        <v>42333</v>
      </c>
      <c r="D234" t="s">
        <v>34</v>
      </c>
      <c r="E234" t="s">
        <v>105</v>
      </c>
      <c r="F234">
        <v>7000</v>
      </c>
      <c r="G234">
        <v>29.36</v>
      </c>
      <c r="H234">
        <v>43</v>
      </c>
      <c r="I234">
        <v>10.199999999999999</v>
      </c>
      <c r="J234">
        <v>19.63</v>
      </c>
      <c r="K234">
        <v>39.1</v>
      </c>
      <c r="L234">
        <v>29.364999999999998</v>
      </c>
    </row>
    <row r="235" spans="1:12" x14ac:dyDescent="0.25">
      <c r="A235" t="s">
        <v>30</v>
      </c>
      <c r="B235" t="s">
        <v>362</v>
      </c>
      <c r="C235" s="3">
        <v>42333</v>
      </c>
      <c r="D235" t="s">
        <v>42</v>
      </c>
      <c r="E235" t="s">
        <v>99</v>
      </c>
      <c r="F235">
        <v>3700</v>
      </c>
      <c r="G235">
        <v>15.84</v>
      </c>
      <c r="H235">
        <v>31.1</v>
      </c>
      <c r="I235">
        <v>-2</v>
      </c>
      <c r="J235">
        <v>6.61</v>
      </c>
      <c r="K235">
        <v>25.06</v>
      </c>
      <c r="L235">
        <v>15.835000000000001</v>
      </c>
    </row>
    <row r="236" spans="1:12" x14ac:dyDescent="0.25">
      <c r="A236" t="s">
        <v>28</v>
      </c>
      <c r="B236" t="s">
        <v>363</v>
      </c>
      <c r="C236" s="3">
        <v>42333</v>
      </c>
      <c r="D236" t="s">
        <v>39</v>
      </c>
      <c r="E236" t="s">
        <v>47</v>
      </c>
      <c r="F236">
        <v>7300</v>
      </c>
      <c r="G236">
        <v>30.64</v>
      </c>
      <c r="H236">
        <v>45.4</v>
      </c>
      <c r="I236">
        <v>13.4</v>
      </c>
      <c r="J236">
        <v>20.59</v>
      </c>
      <c r="K236">
        <v>40.68</v>
      </c>
      <c r="L236">
        <v>30.635000000000002</v>
      </c>
    </row>
    <row r="237" spans="1:12" x14ac:dyDescent="0.25">
      <c r="A237" t="s">
        <v>30</v>
      </c>
      <c r="B237" t="s">
        <v>364</v>
      </c>
      <c r="C237" s="3">
        <v>42333</v>
      </c>
      <c r="D237" t="s">
        <v>198</v>
      </c>
      <c r="E237" t="s">
        <v>40</v>
      </c>
      <c r="F237">
        <v>3500</v>
      </c>
      <c r="G237">
        <v>5.46</v>
      </c>
      <c r="H237">
        <v>15.3</v>
      </c>
      <c r="I237">
        <v>1.2</v>
      </c>
      <c r="J237">
        <v>0.32</v>
      </c>
      <c r="K237">
        <v>10.6</v>
      </c>
      <c r="L237">
        <v>5.46</v>
      </c>
    </row>
    <row r="238" spans="1:12" x14ac:dyDescent="0.25">
      <c r="A238" t="s">
        <v>30</v>
      </c>
      <c r="B238" t="s">
        <v>365</v>
      </c>
      <c r="C238" s="3">
        <v>42333</v>
      </c>
      <c r="D238" t="s">
        <v>48</v>
      </c>
      <c r="E238" t="s">
        <v>32</v>
      </c>
      <c r="F238">
        <v>3600</v>
      </c>
      <c r="G238">
        <v>12.73</v>
      </c>
      <c r="H238">
        <v>16.600000000000001</v>
      </c>
      <c r="I238">
        <v>9.6999999999999993</v>
      </c>
      <c r="J238">
        <v>9.86</v>
      </c>
      <c r="K238">
        <v>15.61</v>
      </c>
      <c r="L238">
        <v>12.734999999999999</v>
      </c>
    </row>
    <row r="239" spans="1:12" x14ac:dyDescent="0.25">
      <c r="A239" t="s">
        <v>28</v>
      </c>
      <c r="B239" t="s">
        <v>366</v>
      </c>
      <c r="C239" s="3">
        <v>42333</v>
      </c>
      <c r="D239" t="s">
        <v>193</v>
      </c>
      <c r="E239" t="s">
        <v>45</v>
      </c>
      <c r="F239">
        <v>3500</v>
      </c>
      <c r="G239">
        <v>7.51</v>
      </c>
      <c r="H239">
        <v>13.4</v>
      </c>
      <c r="I239">
        <v>1.2</v>
      </c>
      <c r="J239">
        <v>3.5</v>
      </c>
      <c r="K239">
        <v>11.52</v>
      </c>
      <c r="L239">
        <v>7.51</v>
      </c>
    </row>
    <row r="240" spans="1:12" x14ac:dyDescent="0.25">
      <c r="A240" t="s">
        <v>29</v>
      </c>
      <c r="B240" t="s">
        <v>367</v>
      </c>
      <c r="C240" s="3">
        <v>42333</v>
      </c>
      <c r="D240" t="s">
        <v>32</v>
      </c>
      <c r="E240" t="s">
        <v>48</v>
      </c>
      <c r="F240">
        <v>4100</v>
      </c>
      <c r="G240">
        <v>19.55</v>
      </c>
      <c r="H240">
        <v>30.3</v>
      </c>
      <c r="I240">
        <v>9.1</v>
      </c>
      <c r="J240">
        <v>12.94</v>
      </c>
      <c r="K240">
        <v>26.16</v>
      </c>
      <c r="L240">
        <v>19.55</v>
      </c>
    </row>
    <row r="241" spans="1:12" x14ac:dyDescent="0.25">
      <c r="A241" t="s">
        <v>29</v>
      </c>
      <c r="B241" t="s">
        <v>96</v>
      </c>
      <c r="C241" s="3">
        <v>42333</v>
      </c>
      <c r="D241" t="s">
        <v>105</v>
      </c>
      <c r="E241" t="s">
        <v>34</v>
      </c>
      <c r="F241">
        <v>5800</v>
      </c>
      <c r="G241">
        <v>25.81</v>
      </c>
      <c r="H241">
        <v>36</v>
      </c>
      <c r="I241">
        <v>15.7</v>
      </c>
      <c r="J241">
        <v>19.39</v>
      </c>
      <c r="K241">
        <v>32.22</v>
      </c>
      <c r="L241">
        <v>25.805</v>
      </c>
    </row>
    <row r="242" spans="1:12" x14ac:dyDescent="0.25">
      <c r="A242" t="s">
        <v>29</v>
      </c>
      <c r="B242" t="s">
        <v>368</v>
      </c>
      <c r="C242" s="3">
        <v>42333</v>
      </c>
      <c r="D242" t="s">
        <v>34</v>
      </c>
      <c r="E242" t="s">
        <v>105</v>
      </c>
      <c r="F242">
        <v>3500</v>
      </c>
      <c r="G242">
        <v>9.67</v>
      </c>
      <c r="H242">
        <v>16</v>
      </c>
      <c r="I242">
        <v>5.5</v>
      </c>
      <c r="J242">
        <v>5.9</v>
      </c>
      <c r="K242">
        <v>13.44</v>
      </c>
      <c r="L242">
        <v>9.67</v>
      </c>
    </row>
    <row r="243" spans="1:12" x14ac:dyDescent="0.25">
      <c r="A243" t="s">
        <v>29</v>
      </c>
      <c r="B243" t="s">
        <v>369</v>
      </c>
      <c r="C243" s="3">
        <v>42333</v>
      </c>
      <c r="D243" t="s">
        <v>45</v>
      </c>
      <c r="E243" t="s">
        <v>193</v>
      </c>
      <c r="F243">
        <v>4200</v>
      </c>
      <c r="G243">
        <v>15.69</v>
      </c>
      <c r="H243">
        <v>28.4</v>
      </c>
      <c r="I243">
        <v>3.2</v>
      </c>
      <c r="J243">
        <v>8.7899999999999991</v>
      </c>
      <c r="K243">
        <v>22.59</v>
      </c>
      <c r="L243">
        <v>15.69</v>
      </c>
    </row>
    <row r="244" spans="1:12" x14ac:dyDescent="0.25">
      <c r="A244" t="s">
        <v>27</v>
      </c>
      <c r="B244" t="s">
        <v>163</v>
      </c>
      <c r="C244" s="3">
        <v>42333</v>
      </c>
      <c r="D244" t="s">
        <v>102</v>
      </c>
      <c r="E244" t="s">
        <v>43</v>
      </c>
      <c r="F244">
        <v>3600</v>
      </c>
      <c r="G244">
        <v>6.75</v>
      </c>
      <c r="H244">
        <v>19.3</v>
      </c>
      <c r="I244">
        <v>1</v>
      </c>
      <c r="J244">
        <v>-0.65</v>
      </c>
      <c r="K244">
        <v>14.15</v>
      </c>
      <c r="L244">
        <v>6.75</v>
      </c>
    </row>
    <row r="245" spans="1:12" x14ac:dyDescent="0.25">
      <c r="A245" t="s">
        <v>27</v>
      </c>
      <c r="B245" t="s">
        <v>370</v>
      </c>
      <c r="C245" s="3">
        <v>42333</v>
      </c>
      <c r="D245" t="s">
        <v>219</v>
      </c>
      <c r="E245" t="s">
        <v>107</v>
      </c>
      <c r="F245">
        <v>3500</v>
      </c>
      <c r="G245">
        <v>10.49</v>
      </c>
      <c r="H245">
        <v>20.100000000000001</v>
      </c>
      <c r="I245">
        <v>0.5</v>
      </c>
      <c r="J245">
        <v>4.9800000000000004</v>
      </c>
      <c r="K245">
        <v>15.99</v>
      </c>
      <c r="L245">
        <v>10.484999999999999</v>
      </c>
    </row>
    <row r="246" spans="1:12" x14ac:dyDescent="0.25">
      <c r="A246" t="s">
        <v>31</v>
      </c>
      <c r="B246" t="s">
        <v>371</v>
      </c>
      <c r="C246" s="3">
        <v>42333</v>
      </c>
      <c r="D246" t="s">
        <v>198</v>
      </c>
      <c r="E246" t="s">
        <v>40</v>
      </c>
      <c r="F246">
        <v>3500</v>
      </c>
      <c r="G246">
        <v>11.8</v>
      </c>
      <c r="H246">
        <v>21.9</v>
      </c>
      <c r="I246">
        <v>3.9</v>
      </c>
      <c r="J246">
        <v>5.85</v>
      </c>
      <c r="K246">
        <v>17.75</v>
      </c>
      <c r="L246">
        <v>11.8</v>
      </c>
    </row>
    <row r="247" spans="1:12" x14ac:dyDescent="0.25">
      <c r="A247" t="s">
        <v>27</v>
      </c>
      <c r="B247" t="s">
        <v>372</v>
      </c>
      <c r="C247" s="3">
        <v>42333</v>
      </c>
      <c r="D247" t="s">
        <v>46</v>
      </c>
      <c r="E247" t="s">
        <v>108</v>
      </c>
      <c r="F247">
        <v>3800</v>
      </c>
      <c r="G247">
        <v>16.03</v>
      </c>
      <c r="H247">
        <v>31.7</v>
      </c>
      <c r="I247">
        <v>4.7</v>
      </c>
      <c r="J247">
        <v>7.94</v>
      </c>
      <c r="K247">
        <v>24.11</v>
      </c>
      <c r="L247">
        <v>16.024999999999999</v>
      </c>
    </row>
    <row r="248" spans="1:12" x14ac:dyDescent="0.25">
      <c r="A248" t="s">
        <v>31</v>
      </c>
      <c r="B248" t="s">
        <v>164</v>
      </c>
      <c r="C248" s="3">
        <v>42333</v>
      </c>
      <c r="D248" t="s">
        <v>98</v>
      </c>
      <c r="E248" t="s">
        <v>41</v>
      </c>
      <c r="F248">
        <v>8600</v>
      </c>
      <c r="G248">
        <v>38.619999999999997</v>
      </c>
      <c r="H248">
        <v>54.7</v>
      </c>
      <c r="I248">
        <v>20.6</v>
      </c>
      <c r="J248">
        <v>30.77</v>
      </c>
      <c r="K248">
        <v>46.47</v>
      </c>
      <c r="L248">
        <v>38.619999999999997</v>
      </c>
    </row>
    <row r="249" spans="1:12" x14ac:dyDescent="0.25">
      <c r="A249" t="s">
        <v>29</v>
      </c>
      <c r="B249" t="s">
        <v>165</v>
      </c>
      <c r="C249" s="3">
        <v>42333</v>
      </c>
      <c r="D249" t="s">
        <v>102</v>
      </c>
      <c r="E249" t="s">
        <v>43</v>
      </c>
      <c r="F249">
        <v>3500</v>
      </c>
      <c r="G249">
        <v>12.11</v>
      </c>
      <c r="H249">
        <v>24.1</v>
      </c>
      <c r="I249">
        <v>1.2</v>
      </c>
      <c r="J249">
        <v>4.95</v>
      </c>
      <c r="K249">
        <v>19.27</v>
      </c>
      <c r="L249">
        <v>12.11</v>
      </c>
    </row>
    <row r="250" spans="1:12" x14ac:dyDescent="0.25">
      <c r="A250" t="s">
        <v>31</v>
      </c>
      <c r="B250" t="s">
        <v>373</v>
      </c>
      <c r="C250" s="3">
        <v>42333</v>
      </c>
      <c r="D250" t="s">
        <v>32</v>
      </c>
      <c r="E250" t="s">
        <v>48</v>
      </c>
      <c r="F250">
        <v>3500</v>
      </c>
      <c r="G250">
        <v>4.7300000000000004</v>
      </c>
      <c r="H250">
        <v>10.6</v>
      </c>
      <c r="I250">
        <v>1.2</v>
      </c>
      <c r="J250">
        <v>1.54</v>
      </c>
      <c r="K250">
        <v>7.93</v>
      </c>
      <c r="L250">
        <v>4.7350000000000003</v>
      </c>
    </row>
    <row r="251" spans="1:12" x14ac:dyDescent="0.25">
      <c r="A251" t="s">
        <v>27</v>
      </c>
      <c r="B251" t="s">
        <v>374</v>
      </c>
      <c r="C251" s="3">
        <v>42333</v>
      </c>
      <c r="D251" t="s">
        <v>32</v>
      </c>
      <c r="E251" t="s">
        <v>48</v>
      </c>
      <c r="F251">
        <v>8400</v>
      </c>
      <c r="G251">
        <v>38.81</v>
      </c>
      <c r="H251">
        <v>57.6</v>
      </c>
      <c r="I251">
        <v>18.2</v>
      </c>
      <c r="J251">
        <v>25.37</v>
      </c>
      <c r="K251">
        <v>52.26</v>
      </c>
      <c r="L251">
        <v>38.814999999999998</v>
      </c>
    </row>
    <row r="252" spans="1:12" x14ac:dyDescent="0.25">
      <c r="A252" t="s">
        <v>27</v>
      </c>
      <c r="B252" t="s">
        <v>166</v>
      </c>
      <c r="C252" s="3">
        <v>42333</v>
      </c>
      <c r="D252" t="s">
        <v>105</v>
      </c>
      <c r="E252" t="s">
        <v>34</v>
      </c>
      <c r="F252">
        <v>4200</v>
      </c>
      <c r="G252">
        <v>17.600000000000001</v>
      </c>
      <c r="H252">
        <v>34.299999999999997</v>
      </c>
      <c r="I252">
        <v>9.5</v>
      </c>
      <c r="J252">
        <v>10.210000000000001</v>
      </c>
      <c r="K252">
        <v>24.99</v>
      </c>
      <c r="L252">
        <v>17.600000000000001</v>
      </c>
    </row>
    <row r="253" spans="1:12" x14ac:dyDescent="0.25">
      <c r="A253" t="s">
        <v>30</v>
      </c>
      <c r="B253" t="s">
        <v>375</v>
      </c>
      <c r="C253" s="3">
        <v>42333</v>
      </c>
      <c r="D253" t="s">
        <v>48</v>
      </c>
      <c r="E253" t="s">
        <v>32</v>
      </c>
      <c r="F253">
        <v>3500</v>
      </c>
      <c r="G253">
        <v>4.96</v>
      </c>
      <c r="H253">
        <v>13.4</v>
      </c>
      <c r="I253">
        <v>-1</v>
      </c>
      <c r="J253">
        <v>0.63</v>
      </c>
      <c r="K253">
        <v>9.3000000000000007</v>
      </c>
      <c r="L253">
        <v>4.9649999999999999</v>
      </c>
    </row>
    <row r="254" spans="1:12" x14ac:dyDescent="0.25">
      <c r="A254" t="s">
        <v>29</v>
      </c>
      <c r="B254" t="s">
        <v>376</v>
      </c>
      <c r="C254" s="3">
        <v>42333</v>
      </c>
      <c r="D254" t="s">
        <v>46</v>
      </c>
      <c r="E254" t="s">
        <v>108</v>
      </c>
      <c r="F254">
        <v>3500</v>
      </c>
      <c r="G254">
        <v>8.2200000000000006</v>
      </c>
      <c r="H254">
        <v>17.399999999999999</v>
      </c>
      <c r="I254">
        <v>1</v>
      </c>
      <c r="J254">
        <v>2.46</v>
      </c>
      <c r="K254">
        <v>13.98</v>
      </c>
      <c r="L254">
        <v>8.2200000000000006</v>
      </c>
    </row>
    <row r="255" spans="1:12" x14ac:dyDescent="0.25">
      <c r="A255" t="s">
        <v>27</v>
      </c>
      <c r="B255" t="s">
        <v>377</v>
      </c>
      <c r="C255" s="3">
        <v>42333</v>
      </c>
      <c r="D255" t="s">
        <v>43</v>
      </c>
      <c r="E255" t="s">
        <v>102</v>
      </c>
      <c r="F255">
        <v>3500</v>
      </c>
      <c r="G255">
        <v>10.58</v>
      </c>
      <c r="H255">
        <v>18.7</v>
      </c>
      <c r="I255">
        <v>2.4</v>
      </c>
      <c r="J255">
        <v>5.72</v>
      </c>
      <c r="K255">
        <v>15.45</v>
      </c>
      <c r="L255">
        <v>10.585000000000001</v>
      </c>
    </row>
    <row r="256" spans="1:12" x14ac:dyDescent="0.25">
      <c r="A256" t="s">
        <v>27</v>
      </c>
      <c r="B256" t="s">
        <v>378</v>
      </c>
      <c r="C256" s="3">
        <v>42333</v>
      </c>
      <c r="D256" t="s">
        <v>46</v>
      </c>
      <c r="E256" t="s">
        <v>108</v>
      </c>
      <c r="F256">
        <v>3500</v>
      </c>
      <c r="G256">
        <v>3.94</v>
      </c>
      <c r="H256">
        <v>10.6</v>
      </c>
      <c r="I256">
        <v>0.5</v>
      </c>
      <c r="J256">
        <v>0.27</v>
      </c>
      <c r="K256">
        <v>7.61</v>
      </c>
      <c r="L256">
        <v>3.94</v>
      </c>
    </row>
    <row r="257" spans="1:12" x14ac:dyDescent="0.25">
      <c r="A257" t="s">
        <v>27</v>
      </c>
      <c r="B257" t="s">
        <v>167</v>
      </c>
      <c r="C257" s="3">
        <v>42333</v>
      </c>
      <c r="D257" t="s">
        <v>108</v>
      </c>
      <c r="E257" t="s">
        <v>46</v>
      </c>
      <c r="F257">
        <v>3500</v>
      </c>
      <c r="G257">
        <v>14.73</v>
      </c>
      <c r="H257">
        <v>31.8</v>
      </c>
      <c r="I257">
        <v>5.4</v>
      </c>
      <c r="J257">
        <v>6.57</v>
      </c>
      <c r="K257">
        <v>22.89</v>
      </c>
      <c r="L257">
        <v>14.73</v>
      </c>
    </row>
    <row r="258" spans="1:12" x14ac:dyDescent="0.25">
      <c r="A258" t="s">
        <v>29</v>
      </c>
      <c r="B258" t="s">
        <v>379</v>
      </c>
      <c r="C258" s="3">
        <v>42333</v>
      </c>
      <c r="D258" t="s">
        <v>35</v>
      </c>
      <c r="E258" t="s">
        <v>33</v>
      </c>
      <c r="F258">
        <v>3500</v>
      </c>
      <c r="G258">
        <v>0.88</v>
      </c>
      <c r="H258">
        <v>2.4</v>
      </c>
      <c r="I258">
        <v>-1</v>
      </c>
      <c r="J258">
        <v>-0.51</v>
      </c>
      <c r="K258">
        <v>2.27</v>
      </c>
      <c r="L258">
        <v>0.88</v>
      </c>
    </row>
    <row r="259" spans="1:12" x14ac:dyDescent="0.25">
      <c r="A259" t="s">
        <v>27</v>
      </c>
      <c r="B259" t="s">
        <v>380</v>
      </c>
      <c r="C259" s="3">
        <v>42333</v>
      </c>
      <c r="D259" t="s">
        <v>35</v>
      </c>
      <c r="E259" t="s">
        <v>33</v>
      </c>
      <c r="F259">
        <v>7500</v>
      </c>
      <c r="G259">
        <v>33.229999999999997</v>
      </c>
      <c r="H259">
        <v>55.5</v>
      </c>
      <c r="I259">
        <v>17.7</v>
      </c>
      <c r="J259">
        <v>23.55</v>
      </c>
      <c r="K259">
        <v>42.91</v>
      </c>
      <c r="L259">
        <v>33.229999999999997</v>
      </c>
    </row>
    <row r="260" spans="1:12" x14ac:dyDescent="0.25">
      <c r="A260" t="s">
        <v>29</v>
      </c>
      <c r="B260" t="s">
        <v>381</v>
      </c>
      <c r="C260" s="3">
        <v>42333</v>
      </c>
      <c r="D260" t="s">
        <v>40</v>
      </c>
      <c r="E260" t="s">
        <v>198</v>
      </c>
      <c r="F260">
        <v>3500</v>
      </c>
      <c r="G260">
        <v>11.24</v>
      </c>
      <c r="H260">
        <v>19.2</v>
      </c>
      <c r="I260">
        <v>1.7</v>
      </c>
      <c r="J260">
        <v>5.62</v>
      </c>
      <c r="K260">
        <v>16.850000000000001</v>
      </c>
      <c r="L260">
        <v>11.234999999999999</v>
      </c>
    </row>
    <row r="261" spans="1:12" x14ac:dyDescent="0.25">
      <c r="A261" t="s">
        <v>31</v>
      </c>
      <c r="B261" t="s">
        <v>382</v>
      </c>
      <c r="C261" s="3">
        <v>42333</v>
      </c>
      <c r="D261" t="s">
        <v>42</v>
      </c>
      <c r="E261" t="s">
        <v>99</v>
      </c>
      <c r="F261">
        <v>3700</v>
      </c>
      <c r="G261">
        <v>10.31</v>
      </c>
      <c r="H261">
        <v>19.100000000000001</v>
      </c>
      <c r="I261">
        <v>3</v>
      </c>
      <c r="J261">
        <v>4.5199999999999996</v>
      </c>
      <c r="K261">
        <v>16.11</v>
      </c>
      <c r="L261">
        <v>10.315</v>
      </c>
    </row>
    <row r="262" spans="1:12" x14ac:dyDescent="0.25">
      <c r="A262" t="s">
        <v>27</v>
      </c>
      <c r="B262" t="s">
        <v>383</v>
      </c>
      <c r="C262" s="3">
        <v>42333</v>
      </c>
      <c r="D262" t="s">
        <v>41</v>
      </c>
      <c r="E262" t="s">
        <v>98</v>
      </c>
      <c r="F262">
        <v>7100</v>
      </c>
      <c r="G262">
        <v>31.73</v>
      </c>
      <c r="H262">
        <v>52.4</v>
      </c>
      <c r="I262">
        <v>20.7</v>
      </c>
      <c r="J262">
        <v>21.9</v>
      </c>
      <c r="K262">
        <v>41.56</v>
      </c>
      <c r="L262">
        <v>31.73</v>
      </c>
    </row>
    <row r="263" spans="1:12" x14ac:dyDescent="0.25">
      <c r="A263" t="s">
        <v>29</v>
      </c>
      <c r="B263" t="s">
        <v>384</v>
      </c>
      <c r="C263" s="3">
        <v>42333</v>
      </c>
      <c r="D263" t="s">
        <v>42</v>
      </c>
      <c r="E263" t="s">
        <v>99</v>
      </c>
      <c r="F263">
        <v>5700</v>
      </c>
      <c r="G263">
        <v>20.149999999999999</v>
      </c>
      <c r="H263">
        <v>33.200000000000003</v>
      </c>
      <c r="I263">
        <v>10.4</v>
      </c>
      <c r="J263">
        <v>12.06</v>
      </c>
      <c r="K263">
        <v>28.24</v>
      </c>
      <c r="L263">
        <v>20.149999999999999</v>
      </c>
    </row>
    <row r="264" spans="1:12" x14ac:dyDescent="0.25">
      <c r="A264" t="s">
        <v>28</v>
      </c>
      <c r="B264" t="s">
        <v>385</v>
      </c>
      <c r="C264" s="3">
        <v>42333</v>
      </c>
      <c r="D264" t="s">
        <v>47</v>
      </c>
      <c r="E264" t="s">
        <v>39</v>
      </c>
      <c r="F264">
        <v>4400</v>
      </c>
      <c r="G264">
        <v>19.239999999999998</v>
      </c>
      <c r="H264">
        <v>35.6</v>
      </c>
      <c r="I264">
        <v>10.5</v>
      </c>
      <c r="J264">
        <v>11.87</v>
      </c>
      <c r="K264">
        <v>26.61</v>
      </c>
      <c r="L264">
        <v>19.239999999999998</v>
      </c>
    </row>
    <row r="265" spans="1:12" x14ac:dyDescent="0.25">
      <c r="A265" t="s">
        <v>30</v>
      </c>
      <c r="B265" t="s">
        <v>386</v>
      </c>
      <c r="C265" s="3">
        <v>42333</v>
      </c>
      <c r="D265" t="s">
        <v>43</v>
      </c>
      <c r="E265" t="s">
        <v>102</v>
      </c>
      <c r="F265">
        <v>4700</v>
      </c>
      <c r="G265">
        <v>21.13</v>
      </c>
      <c r="H265">
        <v>29.5</v>
      </c>
      <c r="I265">
        <v>16.2</v>
      </c>
      <c r="J265">
        <v>16.739999999999998</v>
      </c>
      <c r="K265">
        <v>25.52</v>
      </c>
      <c r="L265">
        <v>21.13</v>
      </c>
    </row>
    <row r="266" spans="1:12" x14ac:dyDescent="0.25">
      <c r="A266" t="s">
        <v>29</v>
      </c>
      <c r="B266" t="s">
        <v>387</v>
      </c>
      <c r="C266" s="3">
        <v>42333</v>
      </c>
      <c r="D266" t="s">
        <v>202</v>
      </c>
      <c r="E266" t="s">
        <v>44</v>
      </c>
      <c r="F266">
        <v>4100</v>
      </c>
      <c r="G266">
        <v>18.18</v>
      </c>
      <c r="H266">
        <v>34.4</v>
      </c>
      <c r="I266">
        <v>5.0999999999999996</v>
      </c>
      <c r="J266">
        <v>9.06</v>
      </c>
      <c r="K266">
        <v>27.29</v>
      </c>
      <c r="L266">
        <v>18.175000000000001</v>
      </c>
    </row>
    <row r="267" spans="1:12" x14ac:dyDescent="0.25">
      <c r="A267" t="s">
        <v>27</v>
      </c>
      <c r="B267" t="s">
        <v>388</v>
      </c>
      <c r="C267" s="3">
        <v>42333</v>
      </c>
      <c r="D267" t="s">
        <v>45</v>
      </c>
      <c r="E267" t="s">
        <v>193</v>
      </c>
      <c r="F267">
        <v>3500</v>
      </c>
      <c r="G267">
        <v>9.36</v>
      </c>
      <c r="H267">
        <v>15.9</v>
      </c>
      <c r="I267">
        <v>-2</v>
      </c>
      <c r="J267">
        <v>3.39</v>
      </c>
      <c r="K267">
        <v>15.34</v>
      </c>
      <c r="L267">
        <v>9.3650000000000002</v>
      </c>
    </row>
    <row r="268" spans="1:12" x14ac:dyDescent="0.25">
      <c r="A268" t="s">
        <v>29</v>
      </c>
      <c r="B268" t="s">
        <v>389</v>
      </c>
      <c r="C268" s="3">
        <v>42333</v>
      </c>
      <c r="D268" t="s">
        <v>32</v>
      </c>
      <c r="E268" t="s">
        <v>48</v>
      </c>
      <c r="F268">
        <v>7600</v>
      </c>
      <c r="G268">
        <v>30.29</v>
      </c>
      <c r="H268">
        <v>39</v>
      </c>
      <c r="I268">
        <v>22</v>
      </c>
      <c r="J268">
        <v>25.29</v>
      </c>
      <c r="K268">
        <v>35.29</v>
      </c>
      <c r="L268">
        <v>30.29</v>
      </c>
    </row>
    <row r="269" spans="1:12" x14ac:dyDescent="0.25">
      <c r="A269" t="s">
        <v>28</v>
      </c>
      <c r="B269" t="s">
        <v>390</v>
      </c>
      <c r="C269" s="3">
        <v>42333</v>
      </c>
      <c r="D269" t="s">
        <v>43</v>
      </c>
      <c r="E269" t="s">
        <v>102</v>
      </c>
      <c r="F269">
        <v>7000</v>
      </c>
      <c r="G269">
        <v>27.6</v>
      </c>
      <c r="H269">
        <v>35.200000000000003</v>
      </c>
      <c r="I269">
        <v>13</v>
      </c>
      <c r="J269">
        <v>20.27</v>
      </c>
      <c r="K269">
        <v>34.93</v>
      </c>
      <c r="L269">
        <v>27.6</v>
      </c>
    </row>
    <row r="270" spans="1:12" x14ac:dyDescent="0.25">
      <c r="A270" t="s">
        <v>27</v>
      </c>
      <c r="B270" t="s">
        <v>168</v>
      </c>
      <c r="C270" s="3">
        <v>42333</v>
      </c>
      <c r="D270" t="s">
        <v>107</v>
      </c>
      <c r="E270" t="s">
        <v>219</v>
      </c>
      <c r="F270">
        <v>3500</v>
      </c>
      <c r="G270">
        <v>4.5599999999999996</v>
      </c>
      <c r="H270">
        <v>7.2</v>
      </c>
      <c r="I270">
        <v>2</v>
      </c>
      <c r="J270">
        <v>2.37</v>
      </c>
      <c r="K270">
        <v>6.75</v>
      </c>
      <c r="L270">
        <v>4.5599999999999996</v>
      </c>
    </row>
    <row r="271" spans="1:12" x14ac:dyDescent="0.25">
      <c r="A271" t="s">
        <v>27</v>
      </c>
      <c r="B271" t="s">
        <v>391</v>
      </c>
      <c r="C271" s="3">
        <v>42333</v>
      </c>
      <c r="D271" t="s">
        <v>44</v>
      </c>
      <c r="E271" t="s">
        <v>202</v>
      </c>
      <c r="F271">
        <v>11600</v>
      </c>
      <c r="G271">
        <v>53.52</v>
      </c>
      <c r="H271">
        <v>71.2</v>
      </c>
      <c r="I271">
        <v>39.799999999999997</v>
      </c>
      <c r="J271">
        <v>44.24</v>
      </c>
      <c r="K271">
        <v>62.81</v>
      </c>
      <c r="L271">
        <v>53.524999999999999</v>
      </c>
    </row>
    <row r="272" spans="1:12" x14ac:dyDescent="0.25">
      <c r="A272" t="s">
        <v>31</v>
      </c>
      <c r="B272" t="s">
        <v>392</v>
      </c>
      <c r="C272" s="3">
        <v>42333</v>
      </c>
      <c r="D272" t="s">
        <v>193</v>
      </c>
      <c r="E272" t="s">
        <v>45</v>
      </c>
      <c r="F272">
        <v>6700</v>
      </c>
      <c r="G272">
        <v>29.54</v>
      </c>
      <c r="H272">
        <v>43.9</v>
      </c>
      <c r="I272">
        <v>14.2</v>
      </c>
      <c r="J272">
        <v>21.16</v>
      </c>
      <c r="K272">
        <v>37.93</v>
      </c>
      <c r="L272">
        <v>29.545000000000002</v>
      </c>
    </row>
    <row r="273" spans="1:12" x14ac:dyDescent="0.25">
      <c r="A273" t="s">
        <v>28</v>
      </c>
      <c r="B273" t="s">
        <v>169</v>
      </c>
      <c r="C273" s="3">
        <v>42333</v>
      </c>
      <c r="D273" t="s">
        <v>108</v>
      </c>
      <c r="E273" t="s">
        <v>46</v>
      </c>
      <c r="F273">
        <v>3500</v>
      </c>
      <c r="G273">
        <v>3.67</v>
      </c>
      <c r="H273">
        <v>7.6</v>
      </c>
      <c r="I273">
        <v>1.2</v>
      </c>
      <c r="J273">
        <v>0.86</v>
      </c>
      <c r="K273">
        <v>6.48</v>
      </c>
      <c r="L273">
        <v>3.67</v>
      </c>
    </row>
    <row r="274" spans="1:12" x14ac:dyDescent="0.25">
      <c r="A274" t="s">
        <v>29</v>
      </c>
      <c r="B274" t="s">
        <v>393</v>
      </c>
      <c r="C274" s="3">
        <v>42333</v>
      </c>
      <c r="D274" t="s">
        <v>219</v>
      </c>
      <c r="E274" t="s">
        <v>107</v>
      </c>
      <c r="F274">
        <v>3500</v>
      </c>
      <c r="G274">
        <v>3.2</v>
      </c>
      <c r="H274">
        <v>3.2</v>
      </c>
      <c r="I274">
        <v>3.2</v>
      </c>
      <c r="J274">
        <v>3.2</v>
      </c>
      <c r="K274">
        <v>3.2</v>
      </c>
      <c r="L274">
        <v>3.2</v>
      </c>
    </row>
    <row r="275" spans="1:12" x14ac:dyDescent="0.25">
      <c r="A275" t="s">
        <v>28</v>
      </c>
      <c r="B275" t="s">
        <v>394</v>
      </c>
      <c r="C275" s="3">
        <v>42333</v>
      </c>
      <c r="D275" t="s">
        <v>40</v>
      </c>
      <c r="E275" t="s">
        <v>198</v>
      </c>
      <c r="F275">
        <v>3500</v>
      </c>
      <c r="G275">
        <v>3.45</v>
      </c>
      <c r="H275">
        <v>5.7</v>
      </c>
      <c r="I275">
        <v>1.2</v>
      </c>
      <c r="J275">
        <v>1.2</v>
      </c>
      <c r="K275">
        <v>5.7</v>
      </c>
      <c r="L275">
        <v>3.45</v>
      </c>
    </row>
    <row r="276" spans="1:12" x14ac:dyDescent="0.25">
      <c r="A276" t="s">
        <v>30</v>
      </c>
      <c r="B276" t="s">
        <v>395</v>
      </c>
      <c r="C276" s="3">
        <v>42333</v>
      </c>
      <c r="D276" t="s">
        <v>47</v>
      </c>
      <c r="E276" t="s">
        <v>39</v>
      </c>
      <c r="F276">
        <v>3500</v>
      </c>
      <c r="G276">
        <v>10.02</v>
      </c>
      <c r="H276">
        <v>30.7</v>
      </c>
      <c r="I276">
        <v>-1</v>
      </c>
      <c r="J276">
        <v>1.44</v>
      </c>
      <c r="K276">
        <v>18.600000000000001</v>
      </c>
      <c r="L276">
        <v>10.02</v>
      </c>
    </row>
    <row r="277" spans="1:12" x14ac:dyDescent="0.25">
      <c r="A277" t="s">
        <v>31</v>
      </c>
      <c r="B277" t="s">
        <v>396</v>
      </c>
      <c r="C277" s="3">
        <v>42333</v>
      </c>
      <c r="D277" t="s">
        <v>44</v>
      </c>
      <c r="E277" t="s">
        <v>202</v>
      </c>
      <c r="F277">
        <v>6400</v>
      </c>
      <c r="G277">
        <v>27.21</v>
      </c>
      <c r="H277">
        <v>41.4</v>
      </c>
      <c r="I277">
        <v>12.1</v>
      </c>
      <c r="J277">
        <v>18.309999999999999</v>
      </c>
      <c r="K277">
        <v>36.1</v>
      </c>
      <c r="L277">
        <v>27.204999999999998</v>
      </c>
    </row>
    <row r="278" spans="1:12" x14ac:dyDescent="0.25">
      <c r="A278" t="s">
        <v>29</v>
      </c>
      <c r="B278" t="s">
        <v>397</v>
      </c>
      <c r="C278" s="3">
        <v>42333</v>
      </c>
      <c r="D278" t="s">
        <v>202</v>
      </c>
      <c r="E278" t="s">
        <v>44</v>
      </c>
      <c r="F278">
        <v>3500</v>
      </c>
      <c r="G278">
        <v>3.83</v>
      </c>
      <c r="H278">
        <v>7.5</v>
      </c>
      <c r="I278">
        <v>1</v>
      </c>
      <c r="J278">
        <v>1.48</v>
      </c>
      <c r="K278">
        <v>6.17</v>
      </c>
      <c r="L278">
        <v>3.8250000000000002</v>
      </c>
    </row>
    <row r="279" spans="1:12" x14ac:dyDescent="0.25">
      <c r="A279" t="s">
        <v>30</v>
      </c>
      <c r="B279" t="s">
        <v>398</v>
      </c>
      <c r="C279" s="3">
        <v>42333</v>
      </c>
      <c r="D279" t="s">
        <v>32</v>
      </c>
      <c r="E279" t="s">
        <v>48</v>
      </c>
      <c r="F279">
        <v>3500</v>
      </c>
      <c r="G279">
        <v>6.8</v>
      </c>
      <c r="H279">
        <v>11</v>
      </c>
      <c r="I279">
        <v>4.7</v>
      </c>
      <c r="J279">
        <v>4.33</v>
      </c>
      <c r="K279">
        <v>9.27</v>
      </c>
      <c r="L279">
        <v>6.8</v>
      </c>
    </row>
    <row r="280" spans="1:12" x14ac:dyDescent="0.25">
      <c r="A280" t="s">
        <v>29</v>
      </c>
      <c r="B280" t="s">
        <v>399</v>
      </c>
      <c r="C280" s="3">
        <v>42333</v>
      </c>
      <c r="D280" t="s">
        <v>41</v>
      </c>
      <c r="E280" t="s">
        <v>98</v>
      </c>
      <c r="F280">
        <v>3500</v>
      </c>
      <c r="G280">
        <v>10.59</v>
      </c>
      <c r="H280">
        <v>23.7</v>
      </c>
      <c r="I280">
        <v>2.2000000000000002</v>
      </c>
      <c r="J280">
        <v>3.84</v>
      </c>
      <c r="K280">
        <v>17.34</v>
      </c>
      <c r="L280">
        <v>10.59</v>
      </c>
    </row>
    <row r="281" spans="1:12" x14ac:dyDescent="0.25">
      <c r="A281" t="s">
        <v>27</v>
      </c>
      <c r="B281" t="s">
        <v>400</v>
      </c>
      <c r="C281" s="3">
        <v>42333</v>
      </c>
      <c r="D281" t="s">
        <v>39</v>
      </c>
      <c r="E281" t="s">
        <v>47</v>
      </c>
      <c r="F281">
        <v>3800</v>
      </c>
      <c r="G281">
        <v>11.57</v>
      </c>
      <c r="H281">
        <v>32.1</v>
      </c>
      <c r="I281">
        <v>2.4</v>
      </c>
      <c r="J281">
        <v>2.19</v>
      </c>
      <c r="K281">
        <v>20.95</v>
      </c>
      <c r="L281">
        <v>11.57</v>
      </c>
    </row>
    <row r="282" spans="1:12" x14ac:dyDescent="0.25">
      <c r="A282" t="s">
        <v>27</v>
      </c>
      <c r="B282" t="s">
        <v>401</v>
      </c>
      <c r="C282" s="3">
        <v>42333</v>
      </c>
      <c r="D282" t="s">
        <v>202</v>
      </c>
      <c r="E282" t="s">
        <v>44</v>
      </c>
      <c r="F282">
        <v>4200</v>
      </c>
      <c r="G282">
        <v>15.2</v>
      </c>
      <c r="H282">
        <v>26.6</v>
      </c>
      <c r="I282">
        <v>1.7</v>
      </c>
      <c r="J282">
        <v>7.83</v>
      </c>
      <c r="K282">
        <v>22.57</v>
      </c>
      <c r="L282">
        <v>15.2</v>
      </c>
    </row>
    <row r="283" spans="1:12" x14ac:dyDescent="0.25">
      <c r="A283" t="s">
        <v>27</v>
      </c>
      <c r="B283" t="s">
        <v>170</v>
      </c>
      <c r="C283" s="3">
        <v>42333</v>
      </c>
      <c r="D283" t="s">
        <v>98</v>
      </c>
      <c r="E283" t="s">
        <v>41</v>
      </c>
      <c r="F283">
        <v>3500</v>
      </c>
      <c r="G283">
        <v>9.76</v>
      </c>
      <c r="H283">
        <v>19.3</v>
      </c>
      <c r="I283">
        <v>0.4</v>
      </c>
      <c r="J283">
        <v>2.41</v>
      </c>
      <c r="K283">
        <v>17.11</v>
      </c>
      <c r="L283">
        <v>9.76</v>
      </c>
    </row>
    <row r="284" spans="1:12" x14ac:dyDescent="0.25">
      <c r="A284" t="s">
        <v>29</v>
      </c>
      <c r="B284" t="s">
        <v>49</v>
      </c>
      <c r="C284" s="3">
        <v>42333</v>
      </c>
      <c r="D284" t="s">
        <v>45</v>
      </c>
      <c r="E284" t="s">
        <v>193</v>
      </c>
      <c r="F284">
        <v>3500</v>
      </c>
      <c r="G284">
        <v>3.92</v>
      </c>
      <c r="H284">
        <v>8.1</v>
      </c>
      <c r="I284">
        <v>1.4</v>
      </c>
      <c r="J284">
        <v>1.6</v>
      </c>
      <c r="K284">
        <v>6.24</v>
      </c>
      <c r="L284">
        <v>3.92</v>
      </c>
    </row>
    <row r="285" spans="1:12" x14ac:dyDescent="0.25">
      <c r="A285" t="s">
        <v>27</v>
      </c>
      <c r="B285" t="s">
        <v>38</v>
      </c>
      <c r="C285" s="3">
        <v>42333</v>
      </c>
      <c r="D285" t="s">
        <v>35</v>
      </c>
      <c r="E285" t="s">
        <v>33</v>
      </c>
      <c r="F285">
        <v>3500</v>
      </c>
      <c r="G285">
        <v>8.0399999999999991</v>
      </c>
      <c r="H285">
        <v>12.2</v>
      </c>
      <c r="I285">
        <v>1.2</v>
      </c>
      <c r="J285">
        <v>4.1900000000000004</v>
      </c>
      <c r="K285">
        <v>11.89</v>
      </c>
      <c r="L285">
        <v>8.0399999999999991</v>
      </c>
    </row>
    <row r="286" spans="1:12" x14ac:dyDescent="0.25">
      <c r="A286" t="s">
        <v>28</v>
      </c>
      <c r="B286" t="s">
        <v>50</v>
      </c>
      <c r="C286" s="3">
        <v>42333</v>
      </c>
      <c r="D286" t="s">
        <v>34</v>
      </c>
      <c r="E286" t="s">
        <v>105</v>
      </c>
      <c r="F286">
        <v>3500</v>
      </c>
      <c r="G286">
        <v>12.55</v>
      </c>
      <c r="H286">
        <v>22.5</v>
      </c>
      <c r="I286">
        <v>4.4000000000000004</v>
      </c>
      <c r="J286">
        <v>6.73</v>
      </c>
      <c r="K286">
        <v>18.38</v>
      </c>
      <c r="L286">
        <v>12.555</v>
      </c>
    </row>
    <row r="287" spans="1:12" x14ac:dyDescent="0.25">
      <c r="A287" t="s">
        <v>29</v>
      </c>
      <c r="B287" t="s">
        <v>36</v>
      </c>
      <c r="C287" s="3">
        <v>42333</v>
      </c>
      <c r="D287" t="s">
        <v>35</v>
      </c>
      <c r="E287" t="s">
        <v>33</v>
      </c>
      <c r="F287">
        <v>3700</v>
      </c>
      <c r="G287">
        <v>14.34</v>
      </c>
      <c r="H287">
        <v>28.4</v>
      </c>
      <c r="I287">
        <v>2</v>
      </c>
      <c r="J287">
        <v>7.26</v>
      </c>
      <c r="K287">
        <v>21.42</v>
      </c>
      <c r="L287">
        <v>14.34</v>
      </c>
    </row>
    <row r="288" spans="1:12" x14ac:dyDescent="0.25">
      <c r="A288" t="s">
        <v>27</v>
      </c>
      <c r="B288" t="s">
        <v>37</v>
      </c>
      <c r="C288" s="3">
        <v>42333</v>
      </c>
      <c r="D288" t="s">
        <v>35</v>
      </c>
      <c r="E288" t="s">
        <v>33</v>
      </c>
      <c r="F288">
        <v>3500</v>
      </c>
      <c r="G288">
        <v>8.76</v>
      </c>
      <c r="H288">
        <v>16.3</v>
      </c>
      <c r="I288">
        <v>0.5</v>
      </c>
      <c r="J288">
        <v>4.41</v>
      </c>
      <c r="K288">
        <v>13.11</v>
      </c>
      <c r="L288">
        <v>8.76</v>
      </c>
    </row>
    <row r="289" spans="1:12" x14ac:dyDescent="0.25">
      <c r="A289" t="s">
        <v>29</v>
      </c>
      <c r="B289" t="s">
        <v>51</v>
      </c>
      <c r="C289" s="3">
        <v>42333</v>
      </c>
      <c r="D289" t="s">
        <v>44</v>
      </c>
      <c r="E289" t="s">
        <v>202</v>
      </c>
      <c r="F289">
        <v>3500</v>
      </c>
      <c r="G289">
        <v>4.2</v>
      </c>
      <c r="H289">
        <v>4.2</v>
      </c>
      <c r="I289">
        <v>4.2</v>
      </c>
      <c r="J289">
        <v>4.2</v>
      </c>
      <c r="K289">
        <v>4.2</v>
      </c>
      <c r="L289">
        <v>4.2</v>
      </c>
    </row>
    <row r="290" spans="1:12" x14ac:dyDescent="0.25">
      <c r="A290" t="s">
        <v>28</v>
      </c>
      <c r="B290" t="s">
        <v>52</v>
      </c>
      <c r="C290" s="3">
        <v>42333</v>
      </c>
      <c r="D290" t="s">
        <v>44</v>
      </c>
      <c r="E290" t="s">
        <v>202</v>
      </c>
      <c r="F290">
        <v>4000</v>
      </c>
      <c r="G290">
        <v>16.91</v>
      </c>
      <c r="H290">
        <v>27.6</v>
      </c>
      <c r="I290">
        <v>4.4000000000000004</v>
      </c>
      <c r="J290">
        <v>10.65</v>
      </c>
      <c r="K290">
        <v>23.17</v>
      </c>
      <c r="L290">
        <v>16.91</v>
      </c>
    </row>
    <row r="291" spans="1:12" x14ac:dyDescent="0.25">
      <c r="A291" t="s">
        <v>27</v>
      </c>
      <c r="B291" t="s">
        <v>53</v>
      </c>
      <c r="C291" s="3">
        <v>42333</v>
      </c>
      <c r="D291" t="s">
        <v>42</v>
      </c>
      <c r="E291" t="s">
        <v>99</v>
      </c>
      <c r="F291">
        <v>5000</v>
      </c>
      <c r="G291">
        <v>23.25</v>
      </c>
      <c r="H291">
        <v>34.799999999999997</v>
      </c>
      <c r="I291">
        <v>11.4</v>
      </c>
      <c r="J291">
        <v>15.75</v>
      </c>
      <c r="K291">
        <v>30.76</v>
      </c>
      <c r="L291">
        <v>23.254999999999999</v>
      </c>
    </row>
    <row r="292" spans="1:12" x14ac:dyDescent="0.25">
      <c r="A292" t="s">
        <v>29</v>
      </c>
      <c r="B292" t="s">
        <v>54</v>
      </c>
      <c r="C292" s="3">
        <v>42333</v>
      </c>
      <c r="D292" t="s">
        <v>45</v>
      </c>
      <c r="E292" t="s">
        <v>193</v>
      </c>
      <c r="F292">
        <v>3700</v>
      </c>
      <c r="G292">
        <v>16.18</v>
      </c>
      <c r="H292">
        <v>27.8</v>
      </c>
      <c r="I292">
        <v>1.2</v>
      </c>
      <c r="J292">
        <v>8.4700000000000006</v>
      </c>
      <c r="K292">
        <v>23.9</v>
      </c>
      <c r="L292">
        <v>16.184999999999999</v>
      </c>
    </row>
    <row r="293" spans="1:12" x14ac:dyDescent="0.25">
      <c r="A293" t="s">
        <v>29</v>
      </c>
      <c r="B293" t="s">
        <v>55</v>
      </c>
      <c r="C293" s="3">
        <v>42333</v>
      </c>
      <c r="D293" t="s">
        <v>41</v>
      </c>
      <c r="E293" t="s">
        <v>98</v>
      </c>
      <c r="F293">
        <v>3500</v>
      </c>
      <c r="G293">
        <v>7.51</v>
      </c>
      <c r="H293">
        <v>15.2</v>
      </c>
      <c r="I293">
        <v>1.2</v>
      </c>
      <c r="J293">
        <v>3.63</v>
      </c>
      <c r="K293">
        <v>11.39</v>
      </c>
      <c r="L293">
        <v>7.51</v>
      </c>
    </row>
    <row r="294" spans="1:12" x14ac:dyDescent="0.25">
      <c r="A294" t="s">
        <v>31</v>
      </c>
      <c r="B294" t="s">
        <v>402</v>
      </c>
      <c r="C294" s="3">
        <v>42333</v>
      </c>
      <c r="D294" t="s">
        <v>219</v>
      </c>
      <c r="E294" t="s">
        <v>107</v>
      </c>
      <c r="F294">
        <v>5700</v>
      </c>
      <c r="G294">
        <v>23.61</v>
      </c>
      <c r="H294">
        <v>37.700000000000003</v>
      </c>
      <c r="I294">
        <v>7.8</v>
      </c>
      <c r="J294">
        <v>13.1</v>
      </c>
      <c r="K294">
        <v>34.119999999999997</v>
      </c>
      <c r="L294">
        <v>23.61</v>
      </c>
    </row>
    <row r="295" spans="1:12" x14ac:dyDescent="0.25">
      <c r="A295" t="s">
        <v>30</v>
      </c>
      <c r="B295" t="s">
        <v>403</v>
      </c>
      <c r="C295" s="3">
        <v>42333</v>
      </c>
      <c r="D295" t="s">
        <v>198</v>
      </c>
      <c r="E295" t="s">
        <v>40</v>
      </c>
      <c r="F295">
        <v>3500</v>
      </c>
      <c r="G295">
        <v>9.3699999999999992</v>
      </c>
      <c r="H295">
        <v>23.8</v>
      </c>
      <c r="I295">
        <v>2</v>
      </c>
      <c r="J295">
        <v>1.76</v>
      </c>
      <c r="K295">
        <v>16.97</v>
      </c>
      <c r="L295">
        <v>9.3650000000000002</v>
      </c>
    </row>
    <row r="296" spans="1:12" x14ac:dyDescent="0.25">
      <c r="A296" t="s">
        <v>27</v>
      </c>
      <c r="B296" t="s">
        <v>171</v>
      </c>
      <c r="C296" s="3">
        <v>42333</v>
      </c>
      <c r="D296" t="s">
        <v>99</v>
      </c>
      <c r="E296" t="s">
        <v>42</v>
      </c>
      <c r="F296">
        <v>3500</v>
      </c>
      <c r="G296">
        <v>4.59</v>
      </c>
      <c r="H296">
        <v>10.7</v>
      </c>
      <c r="I296">
        <v>1.2</v>
      </c>
      <c r="J296">
        <v>1.54</v>
      </c>
      <c r="K296">
        <v>7.63</v>
      </c>
      <c r="L296">
        <v>4.585</v>
      </c>
    </row>
    <row r="297" spans="1:12" x14ac:dyDescent="0.25">
      <c r="A297" t="s">
        <v>29</v>
      </c>
      <c r="B297" t="s">
        <v>172</v>
      </c>
      <c r="C297" s="3">
        <v>42333</v>
      </c>
      <c r="D297" t="s">
        <v>98</v>
      </c>
      <c r="E297" t="s">
        <v>41</v>
      </c>
      <c r="F297">
        <v>3900</v>
      </c>
      <c r="G297">
        <v>19.37</v>
      </c>
      <c r="H297">
        <v>38.9</v>
      </c>
      <c r="I297">
        <v>10.8</v>
      </c>
      <c r="J297">
        <v>12.61</v>
      </c>
      <c r="K297">
        <v>26.12</v>
      </c>
      <c r="L297">
        <v>19.364999999999998</v>
      </c>
    </row>
    <row r="298" spans="1:12" x14ac:dyDescent="0.25">
      <c r="A298" t="s">
        <v>31</v>
      </c>
      <c r="B298" t="s">
        <v>404</v>
      </c>
      <c r="C298" s="3">
        <v>42333</v>
      </c>
      <c r="D298" t="s">
        <v>202</v>
      </c>
      <c r="E298" t="s">
        <v>44</v>
      </c>
      <c r="F298">
        <v>6400</v>
      </c>
      <c r="G298">
        <v>30.06</v>
      </c>
      <c r="H298">
        <v>47.5</v>
      </c>
      <c r="I298">
        <v>16.399999999999999</v>
      </c>
      <c r="J298">
        <v>21.87</v>
      </c>
      <c r="K298">
        <v>38.24</v>
      </c>
      <c r="L298">
        <v>30.055</v>
      </c>
    </row>
    <row r="299" spans="1:12" x14ac:dyDescent="0.25">
      <c r="A299" t="s">
        <v>31</v>
      </c>
      <c r="B299" t="s">
        <v>405</v>
      </c>
      <c r="C299" s="3">
        <v>42333</v>
      </c>
      <c r="D299" t="s">
        <v>202</v>
      </c>
      <c r="E299" t="s">
        <v>44</v>
      </c>
      <c r="F299">
        <v>3500</v>
      </c>
      <c r="G299">
        <v>11.01</v>
      </c>
      <c r="H299">
        <v>22.4</v>
      </c>
      <c r="I299">
        <v>2.8</v>
      </c>
      <c r="J299">
        <v>5.2</v>
      </c>
      <c r="K299">
        <v>16.809999999999999</v>
      </c>
      <c r="L299">
        <v>11.005000000000001</v>
      </c>
    </row>
    <row r="300" spans="1:12" x14ac:dyDescent="0.25">
      <c r="A300" t="s">
        <v>28</v>
      </c>
      <c r="B300" t="s">
        <v>173</v>
      </c>
      <c r="C300" s="3">
        <v>42333</v>
      </c>
      <c r="D300" t="s">
        <v>98</v>
      </c>
      <c r="E300" t="s">
        <v>41</v>
      </c>
      <c r="F300">
        <v>3500</v>
      </c>
      <c r="G300">
        <v>12.38</v>
      </c>
      <c r="H300">
        <v>19.899999999999999</v>
      </c>
      <c r="I300">
        <v>4</v>
      </c>
      <c r="J300">
        <v>7.61</v>
      </c>
      <c r="K300">
        <v>17.16</v>
      </c>
      <c r="L300">
        <v>12.385</v>
      </c>
    </row>
    <row r="301" spans="1:12" x14ac:dyDescent="0.25">
      <c r="A301" t="s">
        <v>28</v>
      </c>
      <c r="B301" t="s">
        <v>56</v>
      </c>
      <c r="C301" s="3">
        <v>42333</v>
      </c>
      <c r="D301" t="s">
        <v>43</v>
      </c>
      <c r="E301" t="s">
        <v>102</v>
      </c>
      <c r="F301">
        <v>3500</v>
      </c>
      <c r="G301">
        <v>3.1</v>
      </c>
      <c r="H301">
        <v>3.2</v>
      </c>
      <c r="I301">
        <v>3</v>
      </c>
      <c r="J301">
        <v>3</v>
      </c>
      <c r="K301">
        <v>3.2</v>
      </c>
      <c r="L301">
        <v>3.1</v>
      </c>
    </row>
    <row r="302" spans="1:12" x14ac:dyDescent="0.25">
      <c r="A302" t="s">
        <v>28</v>
      </c>
      <c r="B302" t="s">
        <v>57</v>
      </c>
      <c r="C302" s="3">
        <v>42333</v>
      </c>
      <c r="D302" t="s">
        <v>46</v>
      </c>
      <c r="E302" t="s">
        <v>108</v>
      </c>
      <c r="F302">
        <v>6800</v>
      </c>
      <c r="G302">
        <v>28.29</v>
      </c>
      <c r="H302">
        <v>46.2</v>
      </c>
      <c r="I302">
        <v>13</v>
      </c>
      <c r="J302">
        <v>19.78</v>
      </c>
      <c r="K302">
        <v>36.79</v>
      </c>
      <c r="L302">
        <v>28.285</v>
      </c>
    </row>
    <row r="303" spans="1:12" x14ac:dyDescent="0.25">
      <c r="A303" t="s">
        <v>30</v>
      </c>
      <c r="B303" t="s">
        <v>406</v>
      </c>
      <c r="C303" s="3">
        <v>42333</v>
      </c>
      <c r="D303" t="s">
        <v>98</v>
      </c>
      <c r="E303" t="s">
        <v>41</v>
      </c>
      <c r="F303">
        <v>3900</v>
      </c>
      <c r="G303">
        <v>4.5</v>
      </c>
      <c r="H303">
        <v>4.5</v>
      </c>
      <c r="I303">
        <v>4.5</v>
      </c>
      <c r="J303">
        <v>4.5</v>
      </c>
      <c r="K303">
        <v>4.5</v>
      </c>
      <c r="L303">
        <v>4.5</v>
      </c>
    </row>
    <row r="304" spans="1:12" x14ac:dyDescent="0.25">
      <c r="A304" t="s">
        <v>28</v>
      </c>
      <c r="B304" t="s">
        <v>58</v>
      </c>
      <c r="C304" s="3">
        <v>42333</v>
      </c>
      <c r="D304" t="s">
        <v>40</v>
      </c>
      <c r="E304" t="s">
        <v>198</v>
      </c>
      <c r="F304">
        <v>4000</v>
      </c>
      <c r="G304">
        <v>15.67</v>
      </c>
      <c r="H304">
        <v>22.7</v>
      </c>
      <c r="I304">
        <v>1</v>
      </c>
      <c r="J304">
        <v>9.5</v>
      </c>
      <c r="K304">
        <v>21.84</v>
      </c>
      <c r="L304">
        <v>15.67</v>
      </c>
    </row>
    <row r="305" spans="1:12" x14ac:dyDescent="0.25">
      <c r="A305" t="s">
        <v>29</v>
      </c>
      <c r="B305" t="s">
        <v>59</v>
      </c>
      <c r="C305" s="3">
        <v>42333</v>
      </c>
      <c r="D305" t="s">
        <v>39</v>
      </c>
      <c r="E305" t="s">
        <v>47</v>
      </c>
      <c r="F305">
        <v>6600</v>
      </c>
      <c r="G305">
        <v>28.18</v>
      </c>
      <c r="H305">
        <v>45.1</v>
      </c>
      <c r="I305">
        <v>14</v>
      </c>
      <c r="J305">
        <v>18.84</v>
      </c>
      <c r="K305">
        <v>37.51</v>
      </c>
      <c r="L305">
        <v>28.175000000000001</v>
      </c>
    </row>
    <row r="306" spans="1:12" x14ac:dyDescent="0.25">
      <c r="A306" t="s">
        <v>27</v>
      </c>
      <c r="B306" t="s">
        <v>407</v>
      </c>
      <c r="C306" s="3">
        <v>42333</v>
      </c>
      <c r="D306" t="s">
        <v>193</v>
      </c>
      <c r="E306" t="s">
        <v>45</v>
      </c>
      <c r="F306">
        <v>3500</v>
      </c>
      <c r="G306">
        <v>12.97</v>
      </c>
      <c r="H306">
        <v>25.6</v>
      </c>
      <c r="I306">
        <v>1</v>
      </c>
      <c r="J306">
        <v>4.91</v>
      </c>
      <c r="K306">
        <v>21.02</v>
      </c>
      <c r="L306">
        <v>12.965</v>
      </c>
    </row>
    <row r="307" spans="1:12" x14ac:dyDescent="0.25">
      <c r="A307" t="s">
        <v>30</v>
      </c>
      <c r="B307" t="s">
        <v>174</v>
      </c>
      <c r="C307" s="3">
        <v>42333</v>
      </c>
      <c r="D307" t="s">
        <v>107</v>
      </c>
      <c r="E307" t="s">
        <v>219</v>
      </c>
      <c r="F307">
        <v>4000</v>
      </c>
      <c r="G307">
        <v>15.77</v>
      </c>
      <c r="H307">
        <v>24.4</v>
      </c>
      <c r="I307">
        <v>6.9</v>
      </c>
      <c r="J307">
        <v>10.26</v>
      </c>
      <c r="K307">
        <v>21.28</v>
      </c>
      <c r="L307">
        <v>15.77</v>
      </c>
    </row>
    <row r="308" spans="1:12" x14ac:dyDescent="0.25">
      <c r="A308" t="s">
        <v>408</v>
      </c>
      <c r="B308" t="s">
        <v>60</v>
      </c>
      <c r="C308" s="3">
        <v>42333</v>
      </c>
      <c r="D308" t="s">
        <v>46</v>
      </c>
      <c r="E308" t="s">
        <v>108</v>
      </c>
      <c r="F308">
        <v>8000</v>
      </c>
      <c r="G308">
        <v>22.39</v>
      </c>
      <c r="H308">
        <v>37.9</v>
      </c>
      <c r="I308">
        <v>9.3000000000000007</v>
      </c>
      <c r="J308">
        <v>14.94</v>
      </c>
      <c r="K308">
        <v>29.84</v>
      </c>
      <c r="L308">
        <v>22.39</v>
      </c>
    </row>
    <row r="309" spans="1:12" x14ac:dyDescent="0.25">
      <c r="A309" t="s">
        <v>29</v>
      </c>
      <c r="B309" t="s">
        <v>409</v>
      </c>
      <c r="C309" s="3">
        <v>42333</v>
      </c>
      <c r="D309" t="s">
        <v>219</v>
      </c>
      <c r="E309" t="s">
        <v>107</v>
      </c>
      <c r="F309">
        <v>6000</v>
      </c>
      <c r="G309">
        <v>24.49</v>
      </c>
      <c r="H309">
        <v>33.799999999999997</v>
      </c>
      <c r="I309">
        <v>14.9</v>
      </c>
      <c r="J309">
        <v>18.36</v>
      </c>
      <c r="K309">
        <v>30.63</v>
      </c>
      <c r="L309">
        <v>24.495000000000001</v>
      </c>
    </row>
    <row r="310" spans="1:12" x14ac:dyDescent="0.25">
      <c r="A310" t="s">
        <v>31</v>
      </c>
      <c r="B310" t="s">
        <v>61</v>
      </c>
      <c r="C310" s="3">
        <v>42333</v>
      </c>
      <c r="D310" t="s">
        <v>43</v>
      </c>
      <c r="E310" t="s">
        <v>102</v>
      </c>
      <c r="F310">
        <v>3500</v>
      </c>
      <c r="G310">
        <v>12.29</v>
      </c>
      <c r="H310">
        <v>31.3</v>
      </c>
      <c r="I310">
        <v>5.6</v>
      </c>
      <c r="J310">
        <v>4.6900000000000004</v>
      </c>
      <c r="K310">
        <v>19.89</v>
      </c>
      <c r="L310">
        <v>12.29</v>
      </c>
    </row>
    <row r="311" spans="1:12" x14ac:dyDescent="0.25">
      <c r="A311" t="s">
        <v>27</v>
      </c>
      <c r="B311" t="s">
        <v>62</v>
      </c>
      <c r="C311" s="3">
        <v>42333</v>
      </c>
      <c r="D311" t="s">
        <v>43</v>
      </c>
      <c r="E311" t="s">
        <v>102</v>
      </c>
      <c r="F311">
        <v>4700</v>
      </c>
      <c r="G311">
        <v>18.329999999999998</v>
      </c>
      <c r="H311">
        <v>29.1</v>
      </c>
      <c r="I311">
        <v>1.7</v>
      </c>
      <c r="J311">
        <v>11.44</v>
      </c>
      <c r="K311">
        <v>25.21</v>
      </c>
      <c r="L311">
        <v>18.324999999999999</v>
      </c>
    </row>
    <row r="312" spans="1:12" x14ac:dyDescent="0.25">
      <c r="A312" t="s">
        <v>31</v>
      </c>
      <c r="B312" t="s">
        <v>63</v>
      </c>
      <c r="C312" s="3">
        <v>42333</v>
      </c>
      <c r="D312" t="s">
        <v>43</v>
      </c>
      <c r="E312" t="s">
        <v>102</v>
      </c>
      <c r="F312">
        <v>3500</v>
      </c>
      <c r="G312">
        <v>5.7</v>
      </c>
      <c r="H312">
        <v>12.1</v>
      </c>
      <c r="I312">
        <v>1.4</v>
      </c>
      <c r="J312">
        <v>2.27</v>
      </c>
      <c r="K312">
        <v>9.1300000000000008</v>
      </c>
      <c r="L312">
        <v>5.7</v>
      </c>
    </row>
    <row r="313" spans="1:12" x14ac:dyDescent="0.25">
      <c r="A313" t="s">
        <v>31</v>
      </c>
      <c r="B313" t="s">
        <v>64</v>
      </c>
      <c r="C313" s="3">
        <v>42333</v>
      </c>
      <c r="D313" t="s">
        <v>40</v>
      </c>
      <c r="E313" t="s">
        <v>198</v>
      </c>
      <c r="F313">
        <v>5700</v>
      </c>
      <c r="G313">
        <v>22.76</v>
      </c>
      <c r="H313">
        <v>37.700000000000003</v>
      </c>
      <c r="I313">
        <v>10.8</v>
      </c>
      <c r="J313">
        <v>15.55</v>
      </c>
      <c r="K313">
        <v>29.97</v>
      </c>
      <c r="L313">
        <v>22.76</v>
      </c>
    </row>
    <row r="314" spans="1:12" x14ac:dyDescent="0.25">
      <c r="A314" t="s">
        <v>30</v>
      </c>
      <c r="B314" t="s">
        <v>65</v>
      </c>
      <c r="C314" s="3">
        <v>42333</v>
      </c>
      <c r="D314" t="s">
        <v>34</v>
      </c>
      <c r="E314" t="s">
        <v>105</v>
      </c>
      <c r="F314">
        <v>3500</v>
      </c>
      <c r="G314">
        <v>2.78</v>
      </c>
      <c r="H314">
        <v>4</v>
      </c>
      <c r="I314">
        <v>1.5</v>
      </c>
      <c r="J314">
        <v>1.85</v>
      </c>
      <c r="K314">
        <v>3.7</v>
      </c>
      <c r="L314">
        <v>2.7749999999999999</v>
      </c>
    </row>
    <row r="315" spans="1:12" x14ac:dyDescent="0.25">
      <c r="A315" t="s">
        <v>27</v>
      </c>
      <c r="B315" t="s">
        <v>410</v>
      </c>
      <c r="C315" s="3">
        <v>42333</v>
      </c>
      <c r="D315" t="s">
        <v>219</v>
      </c>
      <c r="E315" t="s">
        <v>107</v>
      </c>
      <c r="F315">
        <v>5100</v>
      </c>
      <c r="G315">
        <v>18.98</v>
      </c>
      <c r="H315">
        <v>40.5</v>
      </c>
      <c r="I315">
        <v>1.4</v>
      </c>
      <c r="J315">
        <v>9.44</v>
      </c>
      <c r="K315">
        <v>28.52</v>
      </c>
      <c r="L315">
        <v>18.98</v>
      </c>
    </row>
    <row r="316" spans="1:12" x14ac:dyDescent="0.25">
      <c r="A316" t="s">
        <v>27</v>
      </c>
      <c r="B316" t="s">
        <v>66</v>
      </c>
      <c r="C316" s="3">
        <v>42333</v>
      </c>
      <c r="D316" t="s">
        <v>48</v>
      </c>
      <c r="E316" t="s">
        <v>32</v>
      </c>
      <c r="F316">
        <v>3500</v>
      </c>
      <c r="G316">
        <v>8.3800000000000008</v>
      </c>
      <c r="H316">
        <v>12.7</v>
      </c>
      <c r="I316">
        <v>4.9000000000000004</v>
      </c>
      <c r="J316">
        <v>5.26</v>
      </c>
      <c r="K316">
        <v>11.51</v>
      </c>
      <c r="L316">
        <v>8.3849999999999998</v>
      </c>
    </row>
    <row r="317" spans="1:12" x14ac:dyDescent="0.25">
      <c r="A317" t="s">
        <v>31</v>
      </c>
      <c r="B317" t="s">
        <v>67</v>
      </c>
      <c r="C317" s="3">
        <v>42333</v>
      </c>
      <c r="D317" t="s">
        <v>34</v>
      </c>
      <c r="E317" t="s">
        <v>105</v>
      </c>
      <c r="F317">
        <v>3500</v>
      </c>
      <c r="G317">
        <v>9.15</v>
      </c>
      <c r="H317">
        <v>9.6999999999999993</v>
      </c>
      <c r="I317">
        <v>8.6</v>
      </c>
      <c r="J317">
        <v>8.6</v>
      </c>
      <c r="K317">
        <v>9.6999999999999993</v>
      </c>
      <c r="L317">
        <v>9.15</v>
      </c>
    </row>
    <row r="318" spans="1:12" x14ac:dyDescent="0.25">
      <c r="A318" t="s">
        <v>27</v>
      </c>
      <c r="B318" t="s">
        <v>68</v>
      </c>
      <c r="C318" s="3">
        <v>42333</v>
      </c>
      <c r="D318" t="s">
        <v>33</v>
      </c>
      <c r="E318" t="s">
        <v>35</v>
      </c>
      <c r="F318">
        <v>3900</v>
      </c>
      <c r="G318">
        <v>17.46</v>
      </c>
      <c r="H318">
        <v>29.3</v>
      </c>
      <c r="I318">
        <v>5.7</v>
      </c>
      <c r="J318">
        <v>9.3000000000000007</v>
      </c>
      <c r="K318">
        <v>25.63</v>
      </c>
      <c r="L318">
        <v>17.465</v>
      </c>
    </row>
    <row r="319" spans="1:12" x14ac:dyDescent="0.25">
      <c r="A319" t="s">
        <v>28</v>
      </c>
      <c r="B319" t="s">
        <v>175</v>
      </c>
      <c r="C319" s="3">
        <v>42333</v>
      </c>
      <c r="D319" t="s">
        <v>99</v>
      </c>
      <c r="E319" t="s">
        <v>42</v>
      </c>
      <c r="F319">
        <v>3500</v>
      </c>
      <c r="G319">
        <v>7.84</v>
      </c>
      <c r="H319">
        <v>15</v>
      </c>
      <c r="I319">
        <v>1.7</v>
      </c>
      <c r="J319">
        <v>3.53</v>
      </c>
      <c r="K319">
        <v>12.15</v>
      </c>
      <c r="L319">
        <v>7.84</v>
      </c>
    </row>
    <row r="320" spans="1:12" x14ac:dyDescent="0.25">
      <c r="A320" t="s">
        <v>28</v>
      </c>
      <c r="B320" t="s">
        <v>69</v>
      </c>
      <c r="C320" s="3">
        <v>42333</v>
      </c>
      <c r="D320" t="s">
        <v>45</v>
      </c>
      <c r="E320" t="s">
        <v>193</v>
      </c>
      <c r="F320">
        <v>4700</v>
      </c>
      <c r="G320">
        <v>19</v>
      </c>
      <c r="H320">
        <v>35.9</v>
      </c>
      <c r="I320">
        <v>5.8</v>
      </c>
      <c r="J320">
        <v>10.28</v>
      </c>
      <c r="K320">
        <v>27.72</v>
      </c>
      <c r="L320">
        <v>19</v>
      </c>
    </row>
    <row r="321" spans="1:12" x14ac:dyDescent="0.25">
      <c r="A321" t="s">
        <v>27</v>
      </c>
      <c r="B321" t="s">
        <v>70</v>
      </c>
      <c r="C321" s="3">
        <v>42333</v>
      </c>
      <c r="D321" t="s">
        <v>41</v>
      </c>
      <c r="E321" t="s">
        <v>98</v>
      </c>
      <c r="F321">
        <v>3500</v>
      </c>
      <c r="G321">
        <v>5.7</v>
      </c>
      <c r="H321">
        <v>5.7</v>
      </c>
      <c r="I321">
        <v>5.7</v>
      </c>
      <c r="J321">
        <v>5.7</v>
      </c>
      <c r="K321">
        <v>5.7</v>
      </c>
      <c r="L321">
        <v>5.7</v>
      </c>
    </row>
    <row r="322" spans="1:12" x14ac:dyDescent="0.25">
      <c r="A322" t="s">
        <v>31</v>
      </c>
      <c r="B322" t="s">
        <v>71</v>
      </c>
      <c r="C322" s="3">
        <v>42333</v>
      </c>
      <c r="D322" t="s">
        <v>33</v>
      </c>
      <c r="E322" t="s">
        <v>35</v>
      </c>
      <c r="F322">
        <v>3500</v>
      </c>
      <c r="G322">
        <v>5.23</v>
      </c>
      <c r="H322">
        <v>13.3</v>
      </c>
      <c r="I322">
        <v>1.2</v>
      </c>
      <c r="J322">
        <v>-0.47</v>
      </c>
      <c r="K322">
        <v>10.94</v>
      </c>
      <c r="L322">
        <v>5.2350000000000003</v>
      </c>
    </row>
    <row r="323" spans="1:12" x14ac:dyDescent="0.25">
      <c r="A323" t="s">
        <v>30</v>
      </c>
      <c r="B323" t="s">
        <v>72</v>
      </c>
      <c r="C323" s="3">
        <v>42333</v>
      </c>
      <c r="D323" t="s">
        <v>39</v>
      </c>
      <c r="E323" t="s">
        <v>47</v>
      </c>
      <c r="F323">
        <v>7200</v>
      </c>
      <c r="G323">
        <v>28.11</v>
      </c>
      <c r="H323">
        <v>54.6</v>
      </c>
      <c r="I323">
        <v>6.9</v>
      </c>
      <c r="J323">
        <v>15.71</v>
      </c>
      <c r="K323">
        <v>40.5</v>
      </c>
      <c r="L323">
        <v>28.105</v>
      </c>
    </row>
    <row r="324" spans="1:12" x14ac:dyDescent="0.25">
      <c r="A324" t="s">
        <v>29</v>
      </c>
      <c r="B324" t="s">
        <v>176</v>
      </c>
      <c r="C324" s="3">
        <v>42333</v>
      </c>
      <c r="D324" t="s">
        <v>107</v>
      </c>
      <c r="E324" t="s">
        <v>219</v>
      </c>
      <c r="F324">
        <v>3500</v>
      </c>
      <c r="G324">
        <v>9.25</v>
      </c>
      <c r="H324">
        <v>15.6</v>
      </c>
      <c r="I324">
        <v>5.2</v>
      </c>
      <c r="J324">
        <v>4.95</v>
      </c>
      <c r="K324">
        <v>13.55</v>
      </c>
      <c r="L324">
        <v>9.25</v>
      </c>
    </row>
    <row r="325" spans="1:12" x14ac:dyDescent="0.25">
      <c r="A325" t="s">
        <v>28</v>
      </c>
      <c r="B325" t="s">
        <v>177</v>
      </c>
      <c r="C325" s="3">
        <v>42333</v>
      </c>
      <c r="D325" t="s">
        <v>98</v>
      </c>
      <c r="E325" t="s">
        <v>41</v>
      </c>
      <c r="F325">
        <v>3500</v>
      </c>
      <c r="G325">
        <v>1.95</v>
      </c>
      <c r="H325">
        <v>2.2000000000000002</v>
      </c>
      <c r="I325">
        <v>1.7</v>
      </c>
      <c r="J325">
        <v>1.7</v>
      </c>
      <c r="K325">
        <v>2.2000000000000002</v>
      </c>
      <c r="L325">
        <v>1.95</v>
      </c>
    </row>
    <row r="326" spans="1:12" x14ac:dyDescent="0.25">
      <c r="A326" t="s">
        <v>30</v>
      </c>
      <c r="B326" t="s">
        <v>411</v>
      </c>
      <c r="C326" s="3">
        <v>42333</v>
      </c>
      <c r="D326" t="s">
        <v>202</v>
      </c>
      <c r="E326" t="s">
        <v>44</v>
      </c>
      <c r="F326">
        <v>3500</v>
      </c>
      <c r="G326">
        <v>8.06</v>
      </c>
      <c r="H326">
        <v>20.8</v>
      </c>
      <c r="I326">
        <v>2.7</v>
      </c>
      <c r="J326">
        <v>3.27</v>
      </c>
      <c r="K326">
        <v>12.85</v>
      </c>
      <c r="L326">
        <v>8.06</v>
      </c>
    </row>
    <row r="327" spans="1:12" x14ac:dyDescent="0.25">
      <c r="A327" t="s">
        <v>29</v>
      </c>
      <c r="B327" t="s">
        <v>178</v>
      </c>
      <c r="C327" s="3">
        <v>42333</v>
      </c>
      <c r="D327" t="s">
        <v>102</v>
      </c>
      <c r="E327" t="s">
        <v>43</v>
      </c>
      <c r="F327">
        <v>3500</v>
      </c>
      <c r="G327">
        <v>10.5</v>
      </c>
      <c r="H327">
        <v>18.600000000000001</v>
      </c>
      <c r="I327">
        <v>1.2</v>
      </c>
      <c r="J327">
        <v>5.54</v>
      </c>
      <c r="K327">
        <v>15.46</v>
      </c>
      <c r="L327">
        <v>10.5</v>
      </c>
    </row>
    <row r="328" spans="1:12" x14ac:dyDescent="0.25">
      <c r="A328" t="s">
        <v>30</v>
      </c>
      <c r="B328" t="s">
        <v>179</v>
      </c>
      <c r="C328" s="3">
        <v>42333</v>
      </c>
      <c r="D328" t="s">
        <v>108</v>
      </c>
      <c r="E328" t="s">
        <v>46</v>
      </c>
      <c r="F328">
        <v>4800</v>
      </c>
      <c r="G328">
        <v>17.18</v>
      </c>
      <c r="H328">
        <v>37.700000000000003</v>
      </c>
      <c r="I328">
        <v>0.7</v>
      </c>
      <c r="J328">
        <v>8.7799999999999994</v>
      </c>
      <c r="K328">
        <v>25.59</v>
      </c>
      <c r="L328">
        <v>17.184999999999999</v>
      </c>
    </row>
    <row r="329" spans="1:12" x14ac:dyDescent="0.25">
      <c r="A329" t="s">
        <v>28</v>
      </c>
      <c r="B329" t="s">
        <v>73</v>
      </c>
      <c r="C329" s="3">
        <v>42333</v>
      </c>
      <c r="D329" t="s">
        <v>32</v>
      </c>
      <c r="E329" t="s">
        <v>48</v>
      </c>
      <c r="F329">
        <v>3700</v>
      </c>
      <c r="G329">
        <v>14.99</v>
      </c>
      <c r="H329">
        <v>35.299999999999997</v>
      </c>
      <c r="I329">
        <v>2.7</v>
      </c>
      <c r="J329">
        <v>5.84</v>
      </c>
      <c r="K329">
        <v>24.14</v>
      </c>
      <c r="L329">
        <v>14.99</v>
      </c>
    </row>
    <row r="330" spans="1:12" x14ac:dyDescent="0.25">
      <c r="A330" t="s">
        <v>30</v>
      </c>
      <c r="B330" t="s">
        <v>74</v>
      </c>
      <c r="C330" s="3">
        <v>42333</v>
      </c>
      <c r="D330" t="s">
        <v>41</v>
      </c>
      <c r="E330" t="s">
        <v>98</v>
      </c>
      <c r="F330">
        <v>5500</v>
      </c>
      <c r="G330">
        <v>21.96</v>
      </c>
      <c r="H330">
        <v>39.200000000000003</v>
      </c>
      <c r="I330">
        <v>6.9</v>
      </c>
      <c r="J330">
        <v>13.05</v>
      </c>
      <c r="K330">
        <v>30.86</v>
      </c>
      <c r="L330">
        <v>21.954999999999998</v>
      </c>
    </row>
    <row r="331" spans="1:12" x14ac:dyDescent="0.25">
      <c r="A331" t="s">
        <v>31</v>
      </c>
      <c r="B331" t="s">
        <v>180</v>
      </c>
      <c r="C331" s="3">
        <v>42333</v>
      </c>
      <c r="D331" t="s">
        <v>107</v>
      </c>
      <c r="E331" t="s">
        <v>219</v>
      </c>
      <c r="F331">
        <v>6900</v>
      </c>
      <c r="G331">
        <v>27.11</v>
      </c>
      <c r="H331">
        <v>48.8</v>
      </c>
      <c r="I331">
        <v>7.6</v>
      </c>
      <c r="J331">
        <v>18.11</v>
      </c>
      <c r="K331">
        <v>36.11</v>
      </c>
      <c r="L331">
        <v>27.11</v>
      </c>
    </row>
    <row r="332" spans="1:12" x14ac:dyDescent="0.25">
      <c r="A332" t="s">
        <v>28</v>
      </c>
      <c r="B332" t="s">
        <v>181</v>
      </c>
      <c r="C332" s="3">
        <v>42333</v>
      </c>
      <c r="D332" t="s">
        <v>108</v>
      </c>
      <c r="E332" t="s">
        <v>46</v>
      </c>
      <c r="F332">
        <v>6200</v>
      </c>
      <c r="G332">
        <v>27.37</v>
      </c>
      <c r="H332">
        <v>38.4</v>
      </c>
      <c r="I332">
        <v>9.4</v>
      </c>
      <c r="J332">
        <v>18.649999999999999</v>
      </c>
      <c r="K332">
        <v>36.08</v>
      </c>
      <c r="L332">
        <v>27.364999999999998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1"/>
  <sheetViews>
    <sheetView workbookViewId="0">
      <selection activeCell="C23" sqref="C23:C31"/>
    </sheetView>
  </sheetViews>
  <sheetFormatPr defaultRowHeight="15" x14ac:dyDescent="0.25"/>
  <sheetData>
    <row r="1" spans="1:17" x14ac:dyDescent="0.25">
      <c r="A1">
        <v>20</v>
      </c>
      <c r="B1">
        <v>2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>
        <v>271.8</v>
      </c>
      <c r="N1">
        <v>41.683333333299998</v>
      </c>
      <c r="O1">
        <v>60000</v>
      </c>
      <c r="P1">
        <v>4.6314814814777998</v>
      </c>
      <c r="Q1">
        <v>-271.8</v>
      </c>
    </row>
    <row r="3" spans="1:17" x14ac:dyDescent="0.25">
      <c r="A3">
        <v>20</v>
      </c>
    </row>
    <row r="4" spans="1:17" x14ac:dyDescent="0.25">
      <c r="A4">
        <v>2</v>
      </c>
    </row>
    <row r="5" spans="1:17" x14ac:dyDescent="0.25">
      <c r="A5" t="s">
        <v>5</v>
      </c>
    </row>
    <row r="6" spans="1:17" x14ac:dyDescent="0.25">
      <c r="A6" t="s">
        <v>6</v>
      </c>
    </row>
    <row r="7" spans="1:17" x14ac:dyDescent="0.25">
      <c r="A7" t="s">
        <v>7</v>
      </c>
    </row>
    <row r="8" spans="1:17" x14ac:dyDescent="0.25">
      <c r="A8" t="s">
        <v>8</v>
      </c>
    </row>
    <row r="9" spans="1:17" x14ac:dyDescent="0.25">
      <c r="A9" t="s">
        <v>9</v>
      </c>
    </row>
    <row r="10" spans="1:17" x14ac:dyDescent="0.25">
      <c r="A10" t="s">
        <v>10</v>
      </c>
    </row>
    <row r="11" spans="1:17" x14ac:dyDescent="0.25">
      <c r="A11" t="s">
        <v>11</v>
      </c>
    </row>
    <row r="12" spans="1:17" x14ac:dyDescent="0.25">
      <c r="A12" t="s">
        <v>12</v>
      </c>
    </row>
    <row r="13" spans="1:17" x14ac:dyDescent="0.25">
      <c r="A13" t="s">
        <v>13</v>
      </c>
    </row>
    <row r="14" spans="1:17" x14ac:dyDescent="0.25">
      <c r="A14" t="s">
        <v>14</v>
      </c>
    </row>
    <row r="15" spans="1:17" x14ac:dyDescent="0.25">
      <c r="A15">
        <v>271.8</v>
      </c>
    </row>
    <row r="16" spans="1:17" x14ac:dyDescent="0.25">
      <c r="A16">
        <v>41.683333333299998</v>
      </c>
    </row>
    <row r="17" spans="1:3" x14ac:dyDescent="0.25">
      <c r="A17">
        <v>60000</v>
      </c>
    </row>
    <row r="23" spans="1:3" x14ac:dyDescent="0.25">
      <c r="A23" t="s">
        <v>76</v>
      </c>
      <c r="B23" t="s">
        <v>77</v>
      </c>
      <c r="C23" t="str">
        <f>(A23&amp;" "&amp;B23)</f>
        <v>Jimmy Butler</v>
      </c>
    </row>
    <row r="24" spans="1:3" x14ac:dyDescent="0.25">
      <c r="A24" t="s">
        <v>78</v>
      </c>
      <c r="B24" t="s">
        <v>79</v>
      </c>
      <c r="C24" t="str">
        <f t="shared" ref="C24:C31" si="0">(A24&amp;" "&amp;B24)</f>
        <v>Blake Griffin</v>
      </c>
    </row>
    <row r="25" spans="1:3" x14ac:dyDescent="0.25">
      <c r="A25" t="s">
        <v>80</v>
      </c>
      <c r="B25" t="s">
        <v>81</v>
      </c>
      <c r="C25" t="str">
        <f t="shared" si="0"/>
        <v>Marc Gasol</v>
      </c>
    </row>
    <row r="26" spans="1:3" x14ac:dyDescent="0.25">
      <c r="A26" t="s">
        <v>82</v>
      </c>
      <c r="B26" t="s">
        <v>83</v>
      </c>
      <c r="C26" t="str">
        <f t="shared" si="0"/>
        <v>Monta Ellis</v>
      </c>
    </row>
    <row r="27" spans="1:3" x14ac:dyDescent="0.25">
      <c r="A27" t="s">
        <v>84</v>
      </c>
      <c r="B27" t="s">
        <v>85</v>
      </c>
      <c r="C27" t="str">
        <f t="shared" si="0"/>
        <v>George Hill</v>
      </c>
    </row>
    <row r="28" spans="1:3" x14ac:dyDescent="0.25">
      <c r="A28" t="s">
        <v>86</v>
      </c>
      <c r="B28" t="s">
        <v>87</v>
      </c>
      <c r="C28" t="str">
        <f t="shared" si="0"/>
        <v>Otto Porter</v>
      </c>
    </row>
    <row r="29" spans="1:3" x14ac:dyDescent="0.25">
      <c r="A29" t="s">
        <v>88</v>
      </c>
      <c r="B29" t="s">
        <v>89</v>
      </c>
      <c r="C29" t="str">
        <f t="shared" si="0"/>
        <v>Al-Farouq Aminu</v>
      </c>
    </row>
    <row r="30" spans="1:3" x14ac:dyDescent="0.25">
      <c r="A30" t="s">
        <v>90</v>
      </c>
      <c r="B30" t="s">
        <v>91</v>
      </c>
      <c r="C30" t="str">
        <f t="shared" si="0"/>
        <v>Jordan Clarkson</v>
      </c>
    </row>
    <row r="31" spans="1:3" x14ac:dyDescent="0.25">
      <c r="A31" t="s">
        <v>92</v>
      </c>
      <c r="B31" t="s">
        <v>93</v>
      </c>
      <c r="C31" t="str">
        <f t="shared" si="0"/>
        <v>Darrell Arthur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"/>
  <sheetViews>
    <sheetView workbookViewId="0">
      <selection activeCell="L19" sqref="L19"/>
    </sheetView>
  </sheetViews>
  <sheetFormatPr defaultRowHeight="15" x14ac:dyDescent="0.25"/>
  <cols>
    <col min="2" max="2" width="20.85546875" bestFit="1" customWidth="1"/>
    <col min="3" max="3" width="15.140625" customWidth="1"/>
  </cols>
  <sheetData>
    <row r="1" spans="1:3" ht="28.5" x14ac:dyDescent="0.25">
      <c r="A1">
        <v>200</v>
      </c>
      <c r="B1" s="17">
        <f>((1+ERF(((Sheet1!$F$15-ProbabilityDensity!A1)/SQRT(SUMSQ(Sheet1!$L$6:$L$14))/SQRT(2))))/2)</f>
        <v>0.99999957629656433</v>
      </c>
      <c r="C1" s="18"/>
    </row>
    <row r="2" spans="1:3" ht="15.75" x14ac:dyDescent="0.25">
      <c r="A2">
        <v>210</v>
      </c>
      <c r="B2" s="17">
        <f>((1+ERF(((Sheet1!$F$15-ProbabilityDensity!A2)/SQRT(SUMSQ(Sheet1!$L$6:$L$14))/SQRT(2))))/2)</f>
        <v>0.99999239876358348</v>
      </c>
    </row>
    <row r="3" spans="1:3" ht="15.75" x14ac:dyDescent="0.25">
      <c r="A3">
        <v>220</v>
      </c>
      <c r="B3" s="17">
        <f>((1+ERF(((Sheet1!$F$15-ProbabilityDensity!A3)/SQRT(SUMSQ(Sheet1!$L$6:$L$14))/SQRT(2))))/2)</f>
        <v>0.99990324734805203</v>
      </c>
    </row>
    <row r="4" spans="1:3" ht="15.75" x14ac:dyDescent="0.25">
      <c r="A4">
        <v>230</v>
      </c>
      <c r="B4" s="17">
        <f>((1+ERF(((Sheet1!$F$15-ProbabilityDensity!A4)/SQRT(SUMSQ(Sheet1!$L$6:$L$14))/SQRT(2))))/2)</f>
        <v>0.9991228738923954</v>
      </c>
    </row>
    <row r="5" spans="1:3" ht="15.75" x14ac:dyDescent="0.25">
      <c r="A5">
        <v>240</v>
      </c>
      <c r="B5" s="17">
        <f>((1+ERF(((Sheet1!$F$15-ProbabilityDensity!A5)/SQRT(SUMSQ(Sheet1!$L$6:$L$14))/SQRT(2))))/2)</f>
        <v>0.99430621940842456</v>
      </c>
    </row>
    <row r="6" spans="1:3" ht="15.75" x14ac:dyDescent="0.25">
      <c r="A6">
        <v>250</v>
      </c>
      <c r="B6" s="17">
        <f>((1+ERF(((Sheet1!$F$15-ProbabilityDensity!A6)/SQRT(SUMSQ(Sheet1!$L$6:$L$14))/SQRT(2))))/2)</f>
        <v>0.97333191804056229</v>
      </c>
    </row>
    <row r="7" spans="1:3" ht="15.75" x14ac:dyDescent="0.25">
      <c r="A7">
        <v>260</v>
      </c>
      <c r="B7" s="17">
        <f>((1+ERF(((Sheet1!$F$15-ProbabilityDensity!A7)/SQRT(SUMSQ(Sheet1!$L$6:$L$14))/SQRT(2))))/2)</f>
        <v>0.90886577239668198</v>
      </c>
    </row>
    <row r="8" spans="1:3" ht="15.75" x14ac:dyDescent="0.25">
      <c r="A8">
        <v>270</v>
      </c>
      <c r="B8" s="17">
        <f>((1+ERF(((Sheet1!$F$15-ProbabilityDensity!A8)/SQRT(SUMSQ(Sheet1!$L$6:$L$14))/SQRT(2))))/2)</f>
        <v>0.76895711726860572</v>
      </c>
    </row>
    <row r="9" spans="1:3" ht="15.75" x14ac:dyDescent="0.25">
      <c r="A9">
        <v>280</v>
      </c>
      <c r="B9" s="17">
        <f>((1+ERF(((Sheet1!$F$15-ProbabilityDensity!A9)/SQRT(SUMSQ(Sheet1!$L$6:$L$14))/SQRT(2))))/2)</f>
        <v>0.55449663579238762</v>
      </c>
    </row>
    <row r="10" spans="1:3" ht="15.75" x14ac:dyDescent="0.25">
      <c r="A10">
        <v>290</v>
      </c>
      <c r="B10" s="17">
        <f>((1+ERF(((Sheet1!$F$15-ProbabilityDensity!A10)/SQRT(SUMSQ(Sheet1!$L$6:$L$14))/SQRT(2))))/2)</f>
        <v>0.32227168350952118</v>
      </c>
    </row>
    <row r="11" spans="1:3" ht="15.75" x14ac:dyDescent="0.25">
      <c r="A11">
        <v>300</v>
      </c>
      <c r="B11" s="17">
        <f>((1+ERF(((Sheet1!$F$15-ProbabilityDensity!A11)/SQRT(SUMSQ(Sheet1!$L$6:$L$14))/SQRT(2))))/2)</f>
        <v>0.14463099019782832</v>
      </c>
    </row>
    <row r="12" spans="1:3" ht="15.75" x14ac:dyDescent="0.25">
      <c r="A12">
        <v>310</v>
      </c>
      <c r="B12" s="17">
        <f>((1+ERF(((Sheet1!$F$15-ProbabilityDensity!A12)/SQRT(SUMSQ(Sheet1!$L$6:$L$14))/SQRT(2))))/2)</f>
        <v>4.8645791032806196E-2</v>
      </c>
    </row>
    <row r="13" spans="1:3" ht="15.75" x14ac:dyDescent="0.25">
      <c r="A13">
        <v>320</v>
      </c>
      <c r="B13" s="17">
        <f>((1+ERF(((Sheet1!$F$15-ProbabilityDensity!A13)/SQRT(SUMSQ(Sheet1!$L$6:$L$14))/SQRT(2))))/2)</f>
        <v>1.2019214485505636E-2</v>
      </c>
    </row>
    <row r="14" spans="1:3" ht="15.75" x14ac:dyDescent="0.25">
      <c r="A14">
        <v>330</v>
      </c>
      <c r="B14" s="17">
        <f>((1+ERF(((Sheet1!$F$15-ProbabilityDensity!A14)/SQRT(SUMSQ(Sheet1!$L$6:$L$14))/SQRT(2))))/2)</f>
        <v>2.1525141902704603E-3</v>
      </c>
    </row>
    <row r="15" spans="1:3" ht="15.75" x14ac:dyDescent="0.25">
      <c r="A15">
        <v>340</v>
      </c>
      <c r="B15" s="17">
        <f>((1+ERF(((Sheet1!$F$15-ProbabilityDensity!A15)/SQRT(SUMSQ(Sheet1!$L$6:$L$14))/SQRT(2))))/2)</f>
        <v>2.7689977493222662E-4</v>
      </c>
    </row>
    <row r="16" spans="1:3" ht="15.75" x14ac:dyDescent="0.25">
      <c r="A16">
        <v>350</v>
      </c>
      <c r="B16" s="17">
        <f>((1+ERF(((Sheet1!$F$15-ProbabilityDensity!A16)/SQRT(SUMSQ(Sheet1!$L$6:$L$14))/SQRT(2))))/2)</f>
        <v>2.5426331541733571E-5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Sheet1</vt:lpstr>
      <vt:lpstr>DailyPlayers</vt:lpstr>
      <vt:lpstr>Sheet2</vt:lpstr>
      <vt:lpstr>ProbabilityDensity</vt:lpstr>
      <vt:lpstr>DailyPlayers!ExternalData_1</vt:lpstr>
      <vt:lpstr>DailyPlayers!ExternalData_10</vt:lpstr>
      <vt:lpstr>DailyPlayers!ExternalData_11</vt:lpstr>
      <vt:lpstr>DailyPlayers!ExternalData_2</vt:lpstr>
      <vt:lpstr>DailyPlayers!ExternalData_3</vt:lpstr>
      <vt:lpstr>DailyPlayers!ExternalData_4</vt:lpstr>
      <vt:lpstr>DailyPlayers!ExternalData_5</vt:lpstr>
      <vt:lpstr>DailyPlayers!ExternalData_6</vt:lpstr>
      <vt:lpstr>DailyPlayers!ExternalData_7</vt:lpstr>
      <vt:lpstr>DailyPlayers!ExternalData_8</vt:lpstr>
      <vt:lpstr>DailyPlayers!ExternalData_9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2015-11-26T15:37:26Z</dcterms:modified>
</cp:coreProperties>
</file>