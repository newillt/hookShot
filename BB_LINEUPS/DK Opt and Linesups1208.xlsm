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barrick\Dropbox\NBAPredictor\BB_LINEUPS\"/>
    </mc:Choice>
  </mc:AlternateContent>
  <bookViews>
    <workbookView xWindow="0" yWindow="0" windowWidth="28800" windowHeight="11235" firstSheet="2" activeTab="2"/>
  </bookViews>
  <sheets>
    <sheet name="Lineup Optimizer" sheetId="1" r:id="rId1"/>
    <sheet name="Team Outputs" sheetId="3" r:id="rId2"/>
    <sheet name="Sheet1" sheetId="4" r:id="rId3"/>
    <sheet name="Data Sheet" sheetId="2" r:id="rId4"/>
  </sheets>
  <definedNames>
    <definedName name="fp">Sheet1!$I$1:$J$19</definedName>
    <definedName name="OpenSolver_ChosenSolver" localSheetId="0" hidden="1">CBC</definedName>
    <definedName name="OpenSolver_DualsNewSheet" localSheetId="0" hidden="1">FALSE</definedName>
    <definedName name="OpenSolver_LinearityCheck" localSheetId="0" hidden="1">1</definedName>
    <definedName name="OpenSolver_LinearityCheck" localSheetId="1" hidden="1">1</definedName>
    <definedName name="OpenSolver_UpdateSensitivity" localSheetId="0" hidden="1">TRUE</definedName>
    <definedName name="OpenSolverModelParameters" localSheetId="0" hidden="1">'Lineup Optimizer'!$X$11</definedName>
    <definedName name="solver_adj" localSheetId="0" hidden="1">'Lineup Optimizer'!$F$2:$F$500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99999999</definedName>
    <definedName name="solver_lhs1" localSheetId="0" hidden="1">'Lineup Optimizer'!$V$2:$V$8</definedName>
    <definedName name="solver_lhs2" localSheetId="0" hidden="1">'Lineup Optimizer'!$V$9</definedName>
    <definedName name="solver_lhs3" localSheetId="0" hidden="1">'Lineup Optimizer'!$V$10:$V$11</definedName>
    <definedName name="solver_lhs4" localSheetId="0" hidden="1">'Lineup Optimizer'!$F$2:$F$500</definedName>
    <definedName name="solver_lhs5" localSheetId="0" hidden="1">'Lineup Optimizer'!#REF!</definedName>
    <definedName name="solver_neg" localSheetId="0" hidden="1">1</definedName>
    <definedName name="solver_num" localSheetId="0" hidden="1">4</definedName>
    <definedName name="solver_nwt" localSheetId="0" hidden="1">1</definedName>
    <definedName name="solver_opt" localSheetId="0" hidden="1">'Lineup Optimizer'!$V$13</definedName>
    <definedName name="solver_pre" localSheetId="0" hidden="1">0.000001</definedName>
    <definedName name="solver_rel1" localSheetId="0" hidden="1">3</definedName>
    <definedName name="solver_rel2" localSheetId="0" hidden="1">2</definedName>
    <definedName name="solver_rel3" localSheetId="0" hidden="1">1</definedName>
    <definedName name="solver_rel4" localSheetId="0" hidden="1">5</definedName>
    <definedName name="solver_rel5" localSheetId="0" hidden="1">5</definedName>
    <definedName name="solver_rhs1" localSheetId="0" hidden="1">'Lineup Optimizer'!$X$2:$X$8</definedName>
    <definedName name="solver_rhs2" localSheetId="0" hidden="1">'Lineup Optimizer'!$X$9</definedName>
    <definedName name="solver_rhs3" localSheetId="0" hidden="1">'Lineup Optimizer'!$X$10:$X$11</definedName>
    <definedName name="solver_rhs4" localSheetId="0" hidden="1">binary</definedName>
    <definedName name="solver_rhs5" localSheetId="0" hidden="1">binary</definedName>
    <definedName name="solver_rlx" localSheetId="0" hidden="1">2</definedName>
    <definedName name="solver_scl" localSheetId="0" hidden="1">2</definedName>
    <definedName name="solver_sho" localSheetId="0" hidden="1">2</definedName>
    <definedName name="solver_tim" localSheetId="0" hidden="1">999999999</definedName>
    <definedName name="solver_tol" localSheetId="0" hidden="1">0.01</definedName>
    <definedName name="solver_typ" localSheetId="0" hidden="1">1</definedName>
    <definedName name="solver_val" localSheetId="0" hidden="1">0</definedName>
  </definedNames>
  <calcPr calcId="152511"/>
</workbook>
</file>

<file path=xl/calcChain.xml><?xml version="1.0" encoding="utf-8"?>
<calcChain xmlns="http://schemas.openxmlformats.org/spreadsheetml/2006/main">
  <c r="F38" i="4" l="1"/>
  <c r="F29" i="4"/>
  <c r="F20" i="4"/>
  <c r="F11" i="4"/>
  <c r="B47" i="4"/>
  <c r="B38" i="4"/>
  <c r="B29" i="4"/>
  <c r="B20" i="4"/>
  <c r="B11" i="4"/>
  <c r="F4" i="4"/>
  <c r="F5" i="4"/>
  <c r="F6" i="4"/>
  <c r="F7" i="4"/>
  <c r="F8" i="4"/>
  <c r="F9" i="4"/>
  <c r="F10" i="4"/>
  <c r="F12" i="4"/>
  <c r="F13" i="4"/>
  <c r="F14" i="4"/>
  <c r="F15" i="4"/>
  <c r="F16" i="4"/>
  <c r="F17" i="4"/>
  <c r="F18" i="4"/>
  <c r="F19" i="4"/>
  <c r="F21" i="4"/>
  <c r="F22" i="4"/>
  <c r="F23" i="4"/>
  <c r="F24" i="4"/>
  <c r="F25" i="4"/>
  <c r="F26" i="4"/>
  <c r="F27" i="4"/>
  <c r="F28" i="4"/>
  <c r="F30" i="4"/>
  <c r="F31" i="4"/>
  <c r="F32" i="4"/>
  <c r="F33" i="4"/>
  <c r="F34" i="4"/>
  <c r="F35" i="4"/>
  <c r="F36" i="4"/>
  <c r="F37" i="4"/>
  <c r="F3" i="4"/>
  <c r="B4" i="4"/>
  <c r="B5" i="4"/>
  <c r="B6" i="4"/>
  <c r="B7" i="4"/>
  <c r="B8" i="4"/>
  <c r="B9" i="4"/>
  <c r="B10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30" i="4"/>
  <c r="B31" i="4"/>
  <c r="B32" i="4"/>
  <c r="B33" i="4"/>
  <c r="B34" i="4"/>
  <c r="B35" i="4"/>
  <c r="B36" i="4"/>
  <c r="B37" i="4"/>
  <c r="B39" i="4"/>
  <c r="B40" i="4"/>
  <c r="B41" i="4"/>
  <c r="B42" i="4"/>
  <c r="B43" i="4"/>
  <c r="B44" i="4"/>
  <c r="B45" i="4"/>
  <c r="B46" i="4"/>
  <c r="B3" i="4"/>
  <c r="V9" i="1" l="1"/>
  <c r="A499" i="1" l="1"/>
  <c r="B499" i="1"/>
  <c r="N499" i="1" s="1"/>
  <c r="C499" i="1"/>
  <c r="D499" i="1"/>
  <c r="A500" i="1"/>
  <c r="B500" i="1"/>
  <c r="N500" i="1" s="1"/>
  <c r="C500" i="1"/>
  <c r="D500" i="1"/>
  <c r="Q2" i="1"/>
  <c r="K499" i="1" l="1"/>
  <c r="J499" i="1"/>
  <c r="I499" i="1"/>
  <c r="G499" i="1"/>
  <c r="H499" i="1"/>
  <c r="K500" i="1"/>
  <c r="J500" i="1"/>
  <c r="I500" i="1"/>
  <c r="H500" i="1"/>
  <c r="G500" i="1"/>
  <c r="O500" i="1"/>
  <c r="P500" i="1" s="1"/>
  <c r="E500" i="1"/>
  <c r="O499" i="1"/>
  <c r="P499" i="1" s="1"/>
  <c r="E499" i="1"/>
  <c r="B3" i="1"/>
  <c r="C3" i="1"/>
  <c r="D3" i="1"/>
  <c r="B4" i="1"/>
  <c r="C4" i="1"/>
  <c r="D4" i="1"/>
  <c r="B5" i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B11" i="1"/>
  <c r="C11" i="1"/>
  <c r="D11" i="1"/>
  <c r="B12" i="1"/>
  <c r="C12" i="1"/>
  <c r="D12" i="1"/>
  <c r="B13" i="1"/>
  <c r="C13" i="1"/>
  <c r="D13" i="1"/>
  <c r="B14" i="1"/>
  <c r="C14" i="1"/>
  <c r="D14" i="1"/>
  <c r="B15" i="1"/>
  <c r="C15" i="1"/>
  <c r="D15" i="1"/>
  <c r="B16" i="1"/>
  <c r="C16" i="1"/>
  <c r="D16" i="1"/>
  <c r="B17" i="1"/>
  <c r="C17" i="1"/>
  <c r="D17" i="1"/>
  <c r="B18" i="1"/>
  <c r="C18" i="1"/>
  <c r="D18" i="1"/>
  <c r="B19" i="1"/>
  <c r="C19" i="1"/>
  <c r="D19" i="1"/>
  <c r="B20" i="1"/>
  <c r="C20" i="1"/>
  <c r="D20" i="1"/>
  <c r="B21" i="1"/>
  <c r="C21" i="1"/>
  <c r="D21" i="1"/>
  <c r="B22" i="1"/>
  <c r="C22" i="1"/>
  <c r="D22" i="1"/>
  <c r="B23" i="1"/>
  <c r="C23" i="1"/>
  <c r="D23" i="1"/>
  <c r="B24" i="1"/>
  <c r="C24" i="1"/>
  <c r="D24" i="1"/>
  <c r="B25" i="1"/>
  <c r="C25" i="1"/>
  <c r="D25" i="1"/>
  <c r="B26" i="1"/>
  <c r="C26" i="1"/>
  <c r="D26" i="1"/>
  <c r="B27" i="1"/>
  <c r="C27" i="1"/>
  <c r="D27" i="1"/>
  <c r="B28" i="1"/>
  <c r="C28" i="1"/>
  <c r="D28" i="1"/>
  <c r="B29" i="1"/>
  <c r="C29" i="1"/>
  <c r="D29" i="1"/>
  <c r="B30" i="1"/>
  <c r="C30" i="1"/>
  <c r="D30" i="1"/>
  <c r="B31" i="1"/>
  <c r="C31" i="1"/>
  <c r="D31" i="1"/>
  <c r="B32" i="1"/>
  <c r="C32" i="1"/>
  <c r="D32" i="1"/>
  <c r="B33" i="1"/>
  <c r="C33" i="1"/>
  <c r="D33" i="1"/>
  <c r="B34" i="1"/>
  <c r="C34" i="1"/>
  <c r="D34" i="1"/>
  <c r="B35" i="1"/>
  <c r="C35" i="1"/>
  <c r="D35" i="1"/>
  <c r="B36" i="1"/>
  <c r="C36" i="1"/>
  <c r="D36" i="1"/>
  <c r="B37" i="1"/>
  <c r="C37" i="1"/>
  <c r="D37" i="1"/>
  <c r="B38" i="1"/>
  <c r="C38" i="1"/>
  <c r="D38" i="1"/>
  <c r="B39" i="1"/>
  <c r="C39" i="1"/>
  <c r="D39" i="1"/>
  <c r="B40" i="1"/>
  <c r="C40" i="1"/>
  <c r="D40" i="1"/>
  <c r="B41" i="1"/>
  <c r="C41" i="1"/>
  <c r="D41" i="1"/>
  <c r="B42" i="1"/>
  <c r="C42" i="1"/>
  <c r="D42" i="1"/>
  <c r="B43" i="1"/>
  <c r="C43" i="1"/>
  <c r="D43" i="1"/>
  <c r="B44" i="1"/>
  <c r="C44" i="1"/>
  <c r="D44" i="1"/>
  <c r="B45" i="1"/>
  <c r="C45" i="1"/>
  <c r="D45" i="1"/>
  <c r="B46" i="1"/>
  <c r="C46" i="1"/>
  <c r="D46" i="1"/>
  <c r="B47" i="1"/>
  <c r="C47" i="1"/>
  <c r="D47" i="1"/>
  <c r="B48" i="1"/>
  <c r="C48" i="1"/>
  <c r="D48" i="1"/>
  <c r="B49" i="1"/>
  <c r="C49" i="1"/>
  <c r="D49" i="1"/>
  <c r="B50" i="1"/>
  <c r="C50" i="1"/>
  <c r="D50" i="1"/>
  <c r="B51" i="1"/>
  <c r="C51" i="1"/>
  <c r="D51" i="1"/>
  <c r="B52" i="1"/>
  <c r="C52" i="1"/>
  <c r="D52" i="1"/>
  <c r="B53" i="1"/>
  <c r="C53" i="1"/>
  <c r="D53" i="1"/>
  <c r="B54" i="1"/>
  <c r="C54" i="1"/>
  <c r="D54" i="1"/>
  <c r="B55" i="1"/>
  <c r="C55" i="1"/>
  <c r="D55" i="1"/>
  <c r="B56" i="1"/>
  <c r="C56" i="1"/>
  <c r="D56" i="1"/>
  <c r="B57" i="1"/>
  <c r="C57" i="1"/>
  <c r="D57" i="1"/>
  <c r="B58" i="1"/>
  <c r="C58" i="1"/>
  <c r="D58" i="1"/>
  <c r="B59" i="1"/>
  <c r="C59" i="1"/>
  <c r="D59" i="1"/>
  <c r="B60" i="1"/>
  <c r="C60" i="1"/>
  <c r="D60" i="1"/>
  <c r="B61" i="1"/>
  <c r="C61" i="1"/>
  <c r="D61" i="1"/>
  <c r="B62" i="1"/>
  <c r="C62" i="1"/>
  <c r="D62" i="1"/>
  <c r="B63" i="1"/>
  <c r="C63" i="1"/>
  <c r="D63" i="1"/>
  <c r="B64" i="1"/>
  <c r="C64" i="1"/>
  <c r="D64" i="1"/>
  <c r="B65" i="1"/>
  <c r="C65" i="1"/>
  <c r="D65" i="1"/>
  <c r="B66" i="1"/>
  <c r="C66" i="1"/>
  <c r="D66" i="1"/>
  <c r="B67" i="1"/>
  <c r="C67" i="1"/>
  <c r="D67" i="1"/>
  <c r="B68" i="1"/>
  <c r="C68" i="1"/>
  <c r="D68" i="1"/>
  <c r="B69" i="1"/>
  <c r="C69" i="1"/>
  <c r="D69" i="1"/>
  <c r="B70" i="1"/>
  <c r="C70" i="1"/>
  <c r="D70" i="1"/>
  <c r="B71" i="1"/>
  <c r="C71" i="1"/>
  <c r="D71" i="1"/>
  <c r="B72" i="1"/>
  <c r="C72" i="1"/>
  <c r="D72" i="1"/>
  <c r="B73" i="1"/>
  <c r="C73" i="1"/>
  <c r="D73" i="1"/>
  <c r="B74" i="1"/>
  <c r="C74" i="1"/>
  <c r="D74" i="1"/>
  <c r="B75" i="1"/>
  <c r="C75" i="1"/>
  <c r="D75" i="1"/>
  <c r="B76" i="1"/>
  <c r="C76" i="1"/>
  <c r="D76" i="1"/>
  <c r="B77" i="1"/>
  <c r="C77" i="1"/>
  <c r="D77" i="1"/>
  <c r="B78" i="1"/>
  <c r="C78" i="1"/>
  <c r="D78" i="1"/>
  <c r="B79" i="1"/>
  <c r="C79" i="1"/>
  <c r="D79" i="1"/>
  <c r="B80" i="1"/>
  <c r="C80" i="1"/>
  <c r="D80" i="1"/>
  <c r="B81" i="1"/>
  <c r="C81" i="1"/>
  <c r="D81" i="1"/>
  <c r="B82" i="1"/>
  <c r="C82" i="1"/>
  <c r="D82" i="1"/>
  <c r="B83" i="1"/>
  <c r="C83" i="1"/>
  <c r="D83" i="1"/>
  <c r="B84" i="1"/>
  <c r="C84" i="1"/>
  <c r="D84" i="1"/>
  <c r="B85" i="1"/>
  <c r="C85" i="1"/>
  <c r="D85" i="1"/>
  <c r="B86" i="1"/>
  <c r="C86" i="1"/>
  <c r="D86" i="1"/>
  <c r="B87" i="1"/>
  <c r="C87" i="1"/>
  <c r="D87" i="1"/>
  <c r="B88" i="1"/>
  <c r="C88" i="1"/>
  <c r="D88" i="1"/>
  <c r="B89" i="1"/>
  <c r="C89" i="1"/>
  <c r="D89" i="1"/>
  <c r="B90" i="1"/>
  <c r="C90" i="1"/>
  <c r="D90" i="1"/>
  <c r="B91" i="1"/>
  <c r="C91" i="1"/>
  <c r="D91" i="1"/>
  <c r="B92" i="1"/>
  <c r="C92" i="1"/>
  <c r="D92" i="1"/>
  <c r="B93" i="1"/>
  <c r="C93" i="1"/>
  <c r="D93" i="1"/>
  <c r="B94" i="1"/>
  <c r="C94" i="1"/>
  <c r="D94" i="1"/>
  <c r="B95" i="1"/>
  <c r="C95" i="1"/>
  <c r="D95" i="1"/>
  <c r="B96" i="1"/>
  <c r="C96" i="1"/>
  <c r="D96" i="1"/>
  <c r="B97" i="1"/>
  <c r="C97" i="1"/>
  <c r="D97" i="1"/>
  <c r="B98" i="1"/>
  <c r="C98" i="1"/>
  <c r="D98" i="1"/>
  <c r="B99" i="1"/>
  <c r="C99" i="1"/>
  <c r="D99" i="1"/>
  <c r="B100" i="1"/>
  <c r="C100" i="1"/>
  <c r="D100" i="1"/>
  <c r="B101" i="1"/>
  <c r="C101" i="1"/>
  <c r="D101" i="1"/>
  <c r="B102" i="1"/>
  <c r="C102" i="1"/>
  <c r="D102" i="1"/>
  <c r="B103" i="1"/>
  <c r="C103" i="1"/>
  <c r="D103" i="1"/>
  <c r="B104" i="1"/>
  <c r="C104" i="1"/>
  <c r="D104" i="1"/>
  <c r="B105" i="1"/>
  <c r="C105" i="1"/>
  <c r="D105" i="1"/>
  <c r="B106" i="1"/>
  <c r="C106" i="1"/>
  <c r="D106" i="1"/>
  <c r="B107" i="1"/>
  <c r="C107" i="1"/>
  <c r="D107" i="1"/>
  <c r="B108" i="1"/>
  <c r="C108" i="1"/>
  <c r="D108" i="1"/>
  <c r="B109" i="1"/>
  <c r="C109" i="1"/>
  <c r="D109" i="1"/>
  <c r="B110" i="1"/>
  <c r="C110" i="1"/>
  <c r="D110" i="1"/>
  <c r="B111" i="1"/>
  <c r="C111" i="1"/>
  <c r="D111" i="1"/>
  <c r="B112" i="1"/>
  <c r="C112" i="1"/>
  <c r="D112" i="1"/>
  <c r="B113" i="1"/>
  <c r="C113" i="1"/>
  <c r="D113" i="1"/>
  <c r="B114" i="1"/>
  <c r="C114" i="1"/>
  <c r="D114" i="1"/>
  <c r="B115" i="1"/>
  <c r="C115" i="1"/>
  <c r="D115" i="1"/>
  <c r="B116" i="1"/>
  <c r="C116" i="1"/>
  <c r="D116" i="1"/>
  <c r="B117" i="1"/>
  <c r="C117" i="1"/>
  <c r="D117" i="1"/>
  <c r="B118" i="1"/>
  <c r="C118" i="1"/>
  <c r="D118" i="1"/>
  <c r="B119" i="1"/>
  <c r="C119" i="1"/>
  <c r="D119" i="1"/>
  <c r="B120" i="1"/>
  <c r="C120" i="1"/>
  <c r="D120" i="1"/>
  <c r="B121" i="1"/>
  <c r="C121" i="1"/>
  <c r="D121" i="1"/>
  <c r="B122" i="1"/>
  <c r="C122" i="1"/>
  <c r="D122" i="1"/>
  <c r="B123" i="1"/>
  <c r="C123" i="1"/>
  <c r="D123" i="1"/>
  <c r="B124" i="1"/>
  <c r="C124" i="1"/>
  <c r="D124" i="1"/>
  <c r="B125" i="1"/>
  <c r="C125" i="1"/>
  <c r="D125" i="1"/>
  <c r="B126" i="1"/>
  <c r="C126" i="1"/>
  <c r="D126" i="1"/>
  <c r="B127" i="1"/>
  <c r="C127" i="1"/>
  <c r="D127" i="1"/>
  <c r="B128" i="1"/>
  <c r="C128" i="1"/>
  <c r="D128" i="1"/>
  <c r="B129" i="1"/>
  <c r="C129" i="1"/>
  <c r="D129" i="1"/>
  <c r="B130" i="1"/>
  <c r="C130" i="1"/>
  <c r="D130" i="1"/>
  <c r="B131" i="1"/>
  <c r="C131" i="1"/>
  <c r="D131" i="1"/>
  <c r="B132" i="1"/>
  <c r="C132" i="1"/>
  <c r="D132" i="1"/>
  <c r="B133" i="1"/>
  <c r="C133" i="1"/>
  <c r="D133" i="1"/>
  <c r="B134" i="1"/>
  <c r="C134" i="1"/>
  <c r="D134" i="1"/>
  <c r="B135" i="1"/>
  <c r="C135" i="1"/>
  <c r="D135" i="1"/>
  <c r="B136" i="1"/>
  <c r="C136" i="1"/>
  <c r="D136" i="1"/>
  <c r="B137" i="1"/>
  <c r="C137" i="1"/>
  <c r="D137" i="1"/>
  <c r="B138" i="1"/>
  <c r="C138" i="1"/>
  <c r="D138" i="1"/>
  <c r="B139" i="1"/>
  <c r="C139" i="1"/>
  <c r="D139" i="1"/>
  <c r="B140" i="1"/>
  <c r="C140" i="1"/>
  <c r="D140" i="1"/>
  <c r="B141" i="1"/>
  <c r="C141" i="1"/>
  <c r="D141" i="1"/>
  <c r="B142" i="1"/>
  <c r="C142" i="1"/>
  <c r="D142" i="1"/>
  <c r="B143" i="1"/>
  <c r="C143" i="1"/>
  <c r="D143" i="1"/>
  <c r="B144" i="1"/>
  <c r="C144" i="1"/>
  <c r="D144" i="1"/>
  <c r="B145" i="1"/>
  <c r="C145" i="1"/>
  <c r="D145" i="1"/>
  <c r="B146" i="1"/>
  <c r="C146" i="1"/>
  <c r="D146" i="1"/>
  <c r="B147" i="1"/>
  <c r="C147" i="1"/>
  <c r="D147" i="1"/>
  <c r="B148" i="1"/>
  <c r="C148" i="1"/>
  <c r="D148" i="1"/>
  <c r="B149" i="1"/>
  <c r="C149" i="1"/>
  <c r="D149" i="1"/>
  <c r="B150" i="1"/>
  <c r="C150" i="1"/>
  <c r="D150" i="1"/>
  <c r="B151" i="1"/>
  <c r="C151" i="1"/>
  <c r="D151" i="1"/>
  <c r="B152" i="1"/>
  <c r="C152" i="1"/>
  <c r="D152" i="1"/>
  <c r="B153" i="1"/>
  <c r="C153" i="1"/>
  <c r="D153" i="1"/>
  <c r="B154" i="1"/>
  <c r="C154" i="1"/>
  <c r="D154" i="1"/>
  <c r="B155" i="1"/>
  <c r="C155" i="1"/>
  <c r="D155" i="1"/>
  <c r="B156" i="1"/>
  <c r="C156" i="1"/>
  <c r="D156" i="1"/>
  <c r="B157" i="1"/>
  <c r="C157" i="1"/>
  <c r="D157" i="1"/>
  <c r="B158" i="1"/>
  <c r="C158" i="1"/>
  <c r="D158" i="1"/>
  <c r="B159" i="1"/>
  <c r="C159" i="1"/>
  <c r="D159" i="1"/>
  <c r="B160" i="1"/>
  <c r="C160" i="1"/>
  <c r="D160" i="1"/>
  <c r="B161" i="1"/>
  <c r="C161" i="1"/>
  <c r="D161" i="1"/>
  <c r="B162" i="1"/>
  <c r="C162" i="1"/>
  <c r="D162" i="1"/>
  <c r="B163" i="1"/>
  <c r="C163" i="1"/>
  <c r="D163" i="1"/>
  <c r="B164" i="1"/>
  <c r="C164" i="1"/>
  <c r="D164" i="1"/>
  <c r="B165" i="1"/>
  <c r="C165" i="1"/>
  <c r="D165" i="1"/>
  <c r="B166" i="1"/>
  <c r="C166" i="1"/>
  <c r="D166" i="1"/>
  <c r="B167" i="1"/>
  <c r="C167" i="1"/>
  <c r="D167" i="1"/>
  <c r="B168" i="1"/>
  <c r="C168" i="1"/>
  <c r="D168" i="1"/>
  <c r="B169" i="1"/>
  <c r="C169" i="1"/>
  <c r="D169" i="1"/>
  <c r="B170" i="1"/>
  <c r="C170" i="1"/>
  <c r="D170" i="1"/>
  <c r="B171" i="1"/>
  <c r="C171" i="1"/>
  <c r="D171" i="1"/>
  <c r="B172" i="1"/>
  <c r="C172" i="1"/>
  <c r="D172" i="1"/>
  <c r="B173" i="1"/>
  <c r="C173" i="1"/>
  <c r="D173" i="1"/>
  <c r="B174" i="1"/>
  <c r="C174" i="1"/>
  <c r="D174" i="1"/>
  <c r="B175" i="1"/>
  <c r="C175" i="1"/>
  <c r="D175" i="1"/>
  <c r="B176" i="1"/>
  <c r="C176" i="1"/>
  <c r="D176" i="1"/>
  <c r="B177" i="1"/>
  <c r="C177" i="1"/>
  <c r="D177" i="1"/>
  <c r="B178" i="1"/>
  <c r="C178" i="1"/>
  <c r="D178" i="1"/>
  <c r="B179" i="1"/>
  <c r="C179" i="1"/>
  <c r="D179" i="1"/>
  <c r="B180" i="1"/>
  <c r="C180" i="1"/>
  <c r="D180" i="1"/>
  <c r="B181" i="1"/>
  <c r="C181" i="1"/>
  <c r="D181" i="1"/>
  <c r="B182" i="1"/>
  <c r="C182" i="1"/>
  <c r="D182" i="1"/>
  <c r="B183" i="1"/>
  <c r="C183" i="1"/>
  <c r="D183" i="1"/>
  <c r="B184" i="1"/>
  <c r="C184" i="1"/>
  <c r="D184" i="1"/>
  <c r="B185" i="1"/>
  <c r="C185" i="1"/>
  <c r="D185" i="1"/>
  <c r="B186" i="1"/>
  <c r="C186" i="1"/>
  <c r="D186" i="1"/>
  <c r="B187" i="1"/>
  <c r="C187" i="1"/>
  <c r="D187" i="1"/>
  <c r="B188" i="1"/>
  <c r="C188" i="1"/>
  <c r="D188" i="1"/>
  <c r="B189" i="1"/>
  <c r="C189" i="1"/>
  <c r="D189" i="1"/>
  <c r="B190" i="1"/>
  <c r="C190" i="1"/>
  <c r="D190" i="1"/>
  <c r="B191" i="1"/>
  <c r="C191" i="1"/>
  <c r="D191" i="1"/>
  <c r="B192" i="1"/>
  <c r="C192" i="1"/>
  <c r="D192" i="1"/>
  <c r="B193" i="1"/>
  <c r="C193" i="1"/>
  <c r="D193" i="1"/>
  <c r="B194" i="1"/>
  <c r="C194" i="1"/>
  <c r="D194" i="1"/>
  <c r="B195" i="1"/>
  <c r="C195" i="1"/>
  <c r="D195" i="1"/>
  <c r="B196" i="1"/>
  <c r="C196" i="1"/>
  <c r="D196" i="1"/>
  <c r="B197" i="1"/>
  <c r="C197" i="1"/>
  <c r="D197" i="1"/>
  <c r="B198" i="1"/>
  <c r="C198" i="1"/>
  <c r="D198" i="1"/>
  <c r="B199" i="1"/>
  <c r="C199" i="1"/>
  <c r="D199" i="1"/>
  <c r="B200" i="1"/>
  <c r="C200" i="1"/>
  <c r="D200" i="1"/>
  <c r="B201" i="1"/>
  <c r="C201" i="1"/>
  <c r="D201" i="1"/>
  <c r="B202" i="1"/>
  <c r="C202" i="1"/>
  <c r="D202" i="1"/>
  <c r="B203" i="1"/>
  <c r="C203" i="1"/>
  <c r="D203" i="1"/>
  <c r="B204" i="1"/>
  <c r="C204" i="1"/>
  <c r="D204" i="1"/>
  <c r="B205" i="1"/>
  <c r="C205" i="1"/>
  <c r="D205" i="1"/>
  <c r="B206" i="1"/>
  <c r="C206" i="1"/>
  <c r="D206" i="1"/>
  <c r="B207" i="1"/>
  <c r="C207" i="1"/>
  <c r="D207" i="1"/>
  <c r="B208" i="1"/>
  <c r="C208" i="1"/>
  <c r="D208" i="1"/>
  <c r="B209" i="1"/>
  <c r="C209" i="1"/>
  <c r="D209" i="1"/>
  <c r="B210" i="1"/>
  <c r="C210" i="1"/>
  <c r="D210" i="1"/>
  <c r="B211" i="1"/>
  <c r="C211" i="1"/>
  <c r="D211" i="1"/>
  <c r="B212" i="1"/>
  <c r="C212" i="1"/>
  <c r="D212" i="1"/>
  <c r="B213" i="1"/>
  <c r="C213" i="1"/>
  <c r="D213" i="1"/>
  <c r="B214" i="1"/>
  <c r="C214" i="1"/>
  <c r="D214" i="1"/>
  <c r="B215" i="1"/>
  <c r="C215" i="1"/>
  <c r="D215" i="1"/>
  <c r="B216" i="1"/>
  <c r="C216" i="1"/>
  <c r="D216" i="1"/>
  <c r="B217" i="1"/>
  <c r="C217" i="1"/>
  <c r="D217" i="1"/>
  <c r="B218" i="1"/>
  <c r="C218" i="1"/>
  <c r="D218" i="1"/>
  <c r="B219" i="1"/>
  <c r="C219" i="1"/>
  <c r="D219" i="1"/>
  <c r="B220" i="1"/>
  <c r="C220" i="1"/>
  <c r="D220" i="1"/>
  <c r="B221" i="1"/>
  <c r="C221" i="1"/>
  <c r="D221" i="1"/>
  <c r="B222" i="1"/>
  <c r="C222" i="1"/>
  <c r="D222" i="1"/>
  <c r="B223" i="1"/>
  <c r="C223" i="1"/>
  <c r="D223" i="1"/>
  <c r="B224" i="1"/>
  <c r="C224" i="1"/>
  <c r="D224" i="1"/>
  <c r="B225" i="1"/>
  <c r="C225" i="1"/>
  <c r="D225" i="1"/>
  <c r="B226" i="1"/>
  <c r="C226" i="1"/>
  <c r="D226" i="1"/>
  <c r="B227" i="1"/>
  <c r="C227" i="1"/>
  <c r="D227" i="1"/>
  <c r="B228" i="1"/>
  <c r="C228" i="1"/>
  <c r="D228" i="1"/>
  <c r="B229" i="1"/>
  <c r="C229" i="1"/>
  <c r="D229" i="1"/>
  <c r="B230" i="1"/>
  <c r="C230" i="1"/>
  <c r="D230" i="1"/>
  <c r="B231" i="1"/>
  <c r="C231" i="1"/>
  <c r="D231" i="1"/>
  <c r="B232" i="1"/>
  <c r="C232" i="1"/>
  <c r="D232" i="1"/>
  <c r="B233" i="1"/>
  <c r="C233" i="1"/>
  <c r="D233" i="1"/>
  <c r="B234" i="1"/>
  <c r="C234" i="1"/>
  <c r="D234" i="1"/>
  <c r="B235" i="1"/>
  <c r="C235" i="1"/>
  <c r="D235" i="1"/>
  <c r="B236" i="1"/>
  <c r="C236" i="1"/>
  <c r="D236" i="1"/>
  <c r="B237" i="1"/>
  <c r="C237" i="1"/>
  <c r="D237" i="1"/>
  <c r="B238" i="1"/>
  <c r="C238" i="1"/>
  <c r="D238" i="1"/>
  <c r="B239" i="1"/>
  <c r="C239" i="1"/>
  <c r="D239" i="1"/>
  <c r="B240" i="1"/>
  <c r="C240" i="1"/>
  <c r="D240" i="1"/>
  <c r="B241" i="1"/>
  <c r="C241" i="1"/>
  <c r="D241" i="1"/>
  <c r="B242" i="1"/>
  <c r="C242" i="1"/>
  <c r="D242" i="1"/>
  <c r="B243" i="1"/>
  <c r="C243" i="1"/>
  <c r="D243" i="1"/>
  <c r="B244" i="1"/>
  <c r="C244" i="1"/>
  <c r="D244" i="1"/>
  <c r="B245" i="1"/>
  <c r="C245" i="1"/>
  <c r="D245" i="1"/>
  <c r="B246" i="1"/>
  <c r="C246" i="1"/>
  <c r="D246" i="1"/>
  <c r="B247" i="1"/>
  <c r="C247" i="1"/>
  <c r="D247" i="1"/>
  <c r="B248" i="1"/>
  <c r="C248" i="1"/>
  <c r="D248" i="1"/>
  <c r="B249" i="1"/>
  <c r="C249" i="1"/>
  <c r="D249" i="1"/>
  <c r="B250" i="1"/>
  <c r="C250" i="1"/>
  <c r="D250" i="1"/>
  <c r="B251" i="1"/>
  <c r="C251" i="1"/>
  <c r="D251" i="1"/>
  <c r="B252" i="1"/>
  <c r="C252" i="1"/>
  <c r="D252" i="1"/>
  <c r="B253" i="1"/>
  <c r="C253" i="1"/>
  <c r="D253" i="1"/>
  <c r="B254" i="1"/>
  <c r="C254" i="1"/>
  <c r="D254" i="1"/>
  <c r="B255" i="1"/>
  <c r="C255" i="1"/>
  <c r="D255" i="1"/>
  <c r="B256" i="1"/>
  <c r="C256" i="1"/>
  <c r="D256" i="1"/>
  <c r="B257" i="1"/>
  <c r="C257" i="1"/>
  <c r="D257" i="1"/>
  <c r="B258" i="1"/>
  <c r="C258" i="1"/>
  <c r="D258" i="1"/>
  <c r="B259" i="1"/>
  <c r="C259" i="1"/>
  <c r="D259" i="1"/>
  <c r="B260" i="1"/>
  <c r="C260" i="1"/>
  <c r="D260" i="1"/>
  <c r="B261" i="1"/>
  <c r="C261" i="1"/>
  <c r="D261" i="1"/>
  <c r="B262" i="1"/>
  <c r="C262" i="1"/>
  <c r="D262" i="1"/>
  <c r="B263" i="1"/>
  <c r="C263" i="1"/>
  <c r="D263" i="1"/>
  <c r="B264" i="1"/>
  <c r="C264" i="1"/>
  <c r="D264" i="1"/>
  <c r="B265" i="1"/>
  <c r="C265" i="1"/>
  <c r="D265" i="1"/>
  <c r="B266" i="1"/>
  <c r="C266" i="1"/>
  <c r="D266" i="1"/>
  <c r="B267" i="1"/>
  <c r="C267" i="1"/>
  <c r="D267" i="1"/>
  <c r="B268" i="1"/>
  <c r="C268" i="1"/>
  <c r="D268" i="1"/>
  <c r="B269" i="1"/>
  <c r="C269" i="1"/>
  <c r="D269" i="1"/>
  <c r="B270" i="1"/>
  <c r="C270" i="1"/>
  <c r="D270" i="1"/>
  <c r="B271" i="1"/>
  <c r="C271" i="1"/>
  <c r="D271" i="1"/>
  <c r="B272" i="1"/>
  <c r="C272" i="1"/>
  <c r="D272" i="1"/>
  <c r="B273" i="1"/>
  <c r="C273" i="1"/>
  <c r="D273" i="1"/>
  <c r="B274" i="1"/>
  <c r="C274" i="1"/>
  <c r="D274" i="1"/>
  <c r="B275" i="1"/>
  <c r="C275" i="1"/>
  <c r="D275" i="1"/>
  <c r="B276" i="1"/>
  <c r="C276" i="1"/>
  <c r="D276" i="1"/>
  <c r="B277" i="1"/>
  <c r="C277" i="1"/>
  <c r="D277" i="1"/>
  <c r="B278" i="1"/>
  <c r="C278" i="1"/>
  <c r="D278" i="1"/>
  <c r="B279" i="1"/>
  <c r="C279" i="1"/>
  <c r="D279" i="1"/>
  <c r="B280" i="1"/>
  <c r="C280" i="1"/>
  <c r="D280" i="1"/>
  <c r="B281" i="1"/>
  <c r="C281" i="1"/>
  <c r="D281" i="1"/>
  <c r="B282" i="1"/>
  <c r="C282" i="1"/>
  <c r="D282" i="1"/>
  <c r="B283" i="1"/>
  <c r="C283" i="1"/>
  <c r="D283" i="1"/>
  <c r="B284" i="1"/>
  <c r="C284" i="1"/>
  <c r="D284" i="1"/>
  <c r="B285" i="1"/>
  <c r="C285" i="1"/>
  <c r="D285" i="1"/>
  <c r="B286" i="1"/>
  <c r="C286" i="1"/>
  <c r="D286" i="1"/>
  <c r="B287" i="1"/>
  <c r="C287" i="1"/>
  <c r="D287" i="1"/>
  <c r="B288" i="1"/>
  <c r="C288" i="1"/>
  <c r="D288" i="1"/>
  <c r="B289" i="1"/>
  <c r="C289" i="1"/>
  <c r="D289" i="1"/>
  <c r="B290" i="1"/>
  <c r="C290" i="1"/>
  <c r="D290" i="1"/>
  <c r="B291" i="1"/>
  <c r="C291" i="1"/>
  <c r="D291" i="1"/>
  <c r="B292" i="1"/>
  <c r="C292" i="1"/>
  <c r="D292" i="1"/>
  <c r="B293" i="1"/>
  <c r="C293" i="1"/>
  <c r="D293" i="1"/>
  <c r="B294" i="1"/>
  <c r="C294" i="1"/>
  <c r="D294" i="1"/>
  <c r="B295" i="1"/>
  <c r="C295" i="1"/>
  <c r="D295" i="1"/>
  <c r="B296" i="1"/>
  <c r="C296" i="1"/>
  <c r="D296" i="1"/>
  <c r="B297" i="1"/>
  <c r="C297" i="1"/>
  <c r="D297" i="1"/>
  <c r="B298" i="1"/>
  <c r="C298" i="1"/>
  <c r="D298" i="1"/>
  <c r="B299" i="1"/>
  <c r="C299" i="1"/>
  <c r="D299" i="1"/>
  <c r="B300" i="1"/>
  <c r="C300" i="1"/>
  <c r="D300" i="1"/>
  <c r="B301" i="1"/>
  <c r="C301" i="1"/>
  <c r="D301" i="1"/>
  <c r="B302" i="1"/>
  <c r="C302" i="1"/>
  <c r="D302" i="1"/>
  <c r="B303" i="1"/>
  <c r="C303" i="1"/>
  <c r="D303" i="1"/>
  <c r="B304" i="1"/>
  <c r="C304" i="1"/>
  <c r="D304" i="1"/>
  <c r="B305" i="1"/>
  <c r="C305" i="1"/>
  <c r="D305" i="1"/>
  <c r="B306" i="1"/>
  <c r="C306" i="1"/>
  <c r="D306" i="1"/>
  <c r="B307" i="1"/>
  <c r="C307" i="1"/>
  <c r="D307" i="1"/>
  <c r="B308" i="1"/>
  <c r="C308" i="1"/>
  <c r="D308" i="1"/>
  <c r="B309" i="1"/>
  <c r="C309" i="1"/>
  <c r="D309" i="1"/>
  <c r="B310" i="1"/>
  <c r="C310" i="1"/>
  <c r="D310" i="1"/>
  <c r="B311" i="1"/>
  <c r="C311" i="1"/>
  <c r="D311" i="1"/>
  <c r="B312" i="1"/>
  <c r="C312" i="1"/>
  <c r="D312" i="1"/>
  <c r="B313" i="1"/>
  <c r="C313" i="1"/>
  <c r="D313" i="1"/>
  <c r="B314" i="1"/>
  <c r="C314" i="1"/>
  <c r="D314" i="1"/>
  <c r="B315" i="1"/>
  <c r="C315" i="1"/>
  <c r="D315" i="1"/>
  <c r="B316" i="1"/>
  <c r="C316" i="1"/>
  <c r="D316" i="1"/>
  <c r="B317" i="1"/>
  <c r="C317" i="1"/>
  <c r="D317" i="1"/>
  <c r="B318" i="1"/>
  <c r="C318" i="1"/>
  <c r="D318" i="1"/>
  <c r="B319" i="1"/>
  <c r="C319" i="1"/>
  <c r="D319" i="1"/>
  <c r="B320" i="1"/>
  <c r="C320" i="1"/>
  <c r="D320" i="1"/>
  <c r="B321" i="1"/>
  <c r="C321" i="1"/>
  <c r="D321" i="1"/>
  <c r="B322" i="1"/>
  <c r="C322" i="1"/>
  <c r="D322" i="1"/>
  <c r="B323" i="1"/>
  <c r="C323" i="1"/>
  <c r="D323" i="1"/>
  <c r="B324" i="1"/>
  <c r="C324" i="1"/>
  <c r="D324" i="1"/>
  <c r="B325" i="1"/>
  <c r="C325" i="1"/>
  <c r="D325" i="1"/>
  <c r="B326" i="1"/>
  <c r="C326" i="1"/>
  <c r="D326" i="1"/>
  <c r="B327" i="1"/>
  <c r="C327" i="1"/>
  <c r="D327" i="1"/>
  <c r="B328" i="1"/>
  <c r="C328" i="1"/>
  <c r="D328" i="1"/>
  <c r="B329" i="1"/>
  <c r="C329" i="1"/>
  <c r="D329" i="1"/>
  <c r="B330" i="1"/>
  <c r="C330" i="1"/>
  <c r="D330" i="1"/>
  <c r="B331" i="1"/>
  <c r="C331" i="1"/>
  <c r="D331" i="1"/>
  <c r="B332" i="1"/>
  <c r="C332" i="1"/>
  <c r="D332" i="1"/>
  <c r="B333" i="1"/>
  <c r="C333" i="1"/>
  <c r="D333" i="1"/>
  <c r="B334" i="1"/>
  <c r="C334" i="1"/>
  <c r="D334" i="1"/>
  <c r="B335" i="1"/>
  <c r="C335" i="1"/>
  <c r="D335" i="1"/>
  <c r="B336" i="1"/>
  <c r="C336" i="1"/>
  <c r="D336" i="1"/>
  <c r="B337" i="1"/>
  <c r="C337" i="1"/>
  <c r="D337" i="1"/>
  <c r="B338" i="1"/>
  <c r="C338" i="1"/>
  <c r="D338" i="1"/>
  <c r="B339" i="1"/>
  <c r="C339" i="1"/>
  <c r="D339" i="1"/>
  <c r="B340" i="1"/>
  <c r="C340" i="1"/>
  <c r="D340" i="1"/>
  <c r="B341" i="1"/>
  <c r="C341" i="1"/>
  <c r="D341" i="1"/>
  <c r="B342" i="1"/>
  <c r="C342" i="1"/>
  <c r="D342" i="1"/>
  <c r="B343" i="1"/>
  <c r="C343" i="1"/>
  <c r="D343" i="1"/>
  <c r="B344" i="1"/>
  <c r="C344" i="1"/>
  <c r="D344" i="1"/>
  <c r="B345" i="1"/>
  <c r="C345" i="1"/>
  <c r="D345" i="1"/>
  <c r="B346" i="1"/>
  <c r="C346" i="1"/>
  <c r="D346" i="1"/>
  <c r="B347" i="1"/>
  <c r="C347" i="1"/>
  <c r="D347" i="1"/>
  <c r="B348" i="1"/>
  <c r="C348" i="1"/>
  <c r="D348" i="1"/>
  <c r="B349" i="1"/>
  <c r="C349" i="1"/>
  <c r="D349" i="1"/>
  <c r="B350" i="1"/>
  <c r="C350" i="1"/>
  <c r="D350" i="1"/>
  <c r="B351" i="1"/>
  <c r="C351" i="1"/>
  <c r="D351" i="1"/>
  <c r="B352" i="1"/>
  <c r="C352" i="1"/>
  <c r="D352" i="1"/>
  <c r="B353" i="1"/>
  <c r="C353" i="1"/>
  <c r="D353" i="1"/>
  <c r="B354" i="1"/>
  <c r="C354" i="1"/>
  <c r="D354" i="1"/>
  <c r="B355" i="1"/>
  <c r="C355" i="1"/>
  <c r="D355" i="1"/>
  <c r="B356" i="1"/>
  <c r="C356" i="1"/>
  <c r="D356" i="1"/>
  <c r="B357" i="1"/>
  <c r="C357" i="1"/>
  <c r="D357" i="1"/>
  <c r="B358" i="1"/>
  <c r="C358" i="1"/>
  <c r="D358" i="1"/>
  <c r="B359" i="1"/>
  <c r="C359" i="1"/>
  <c r="D359" i="1"/>
  <c r="B360" i="1"/>
  <c r="C360" i="1"/>
  <c r="D360" i="1"/>
  <c r="B361" i="1"/>
  <c r="C361" i="1"/>
  <c r="D361" i="1"/>
  <c r="B362" i="1"/>
  <c r="C362" i="1"/>
  <c r="D362" i="1"/>
  <c r="B363" i="1"/>
  <c r="C363" i="1"/>
  <c r="D363" i="1"/>
  <c r="B364" i="1"/>
  <c r="C364" i="1"/>
  <c r="D364" i="1"/>
  <c r="B365" i="1"/>
  <c r="C365" i="1"/>
  <c r="D365" i="1"/>
  <c r="B366" i="1"/>
  <c r="C366" i="1"/>
  <c r="D366" i="1"/>
  <c r="B367" i="1"/>
  <c r="C367" i="1"/>
  <c r="D367" i="1"/>
  <c r="B368" i="1"/>
  <c r="C368" i="1"/>
  <c r="D368" i="1"/>
  <c r="B369" i="1"/>
  <c r="C369" i="1"/>
  <c r="D369" i="1"/>
  <c r="B370" i="1"/>
  <c r="C370" i="1"/>
  <c r="D370" i="1"/>
  <c r="B371" i="1"/>
  <c r="C371" i="1"/>
  <c r="D371" i="1"/>
  <c r="B372" i="1"/>
  <c r="C372" i="1"/>
  <c r="D372" i="1"/>
  <c r="B373" i="1"/>
  <c r="C373" i="1"/>
  <c r="D373" i="1"/>
  <c r="B374" i="1"/>
  <c r="C374" i="1"/>
  <c r="D374" i="1"/>
  <c r="B375" i="1"/>
  <c r="C375" i="1"/>
  <c r="D375" i="1"/>
  <c r="B376" i="1"/>
  <c r="C376" i="1"/>
  <c r="D376" i="1"/>
  <c r="B377" i="1"/>
  <c r="C377" i="1"/>
  <c r="D377" i="1"/>
  <c r="B378" i="1"/>
  <c r="C378" i="1"/>
  <c r="D378" i="1"/>
  <c r="B379" i="1"/>
  <c r="C379" i="1"/>
  <c r="D379" i="1"/>
  <c r="B380" i="1"/>
  <c r="C380" i="1"/>
  <c r="D380" i="1"/>
  <c r="B381" i="1"/>
  <c r="C381" i="1"/>
  <c r="D381" i="1"/>
  <c r="B382" i="1"/>
  <c r="C382" i="1"/>
  <c r="D382" i="1"/>
  <c r="B383" i="1"/>
  <c r="C383" i="1"/>
  <c r="D383" i="1"/>
  <c r="B384" i="1"/>
  <c r="C384" i="1"/>
  <c r="D384" i="1"/>
  <c r="B385" i="1"/>
  <c r="C385" i="1"/>
  <c r="D385" i="1"/>
  <c r="B386" i="1"/>
  <c r="C386" i="1"/>
  <c r="D386" i="1"/>
  <c r="B387" i="1"/>
  <c r="C387" i="1"/>
  <c r="D387" i="1"/>
  <c r="B388" i="1"/>
  <c r="C388" i="1"/>
  <c r="D388" i="1"/>
  <c r="B389" i="1"/>
  <c r="C389" i="1"/>
  <c r="D389" i="1"/>
  <c r="B390" i="1"/>
  <c r="C390" i="1"/>
  <c r="D390" i="1"/>
  <c r="B391" i="1"/>
  <c r="C391" i="1"/>
  <c r="D391" i="1"/>
  <c r="B392" i="1"/>
  <c r="C392" i="1"/>
  <c r="D392" i="1"/>
  <c r="B393" i="1"/>
  <c r="C393" i="1"/>
  <c r="D393" i="1"/>
  <c r="B394" i="1"/>
  <c r="C394" i="1"/>
  <c r="D394" i="1"/>
  <c r="B395" i="1"/>
  <c r="C395" i="1"/>
  <c r="D395" i="1"/>
  <c r="B396" i="1"/>
  <c r="C396" i="1"/>
  <c r="D396" i="1"/>
  <c r="B397" i="1"/>
  <c r="C397" i="1"/>
  <c r="D397" i="1"/>
  <c r="B398" i="1"/>
  <c r="C398" i="1"/>
  <c r="D398" i="1"/>
  <c r="B399" i="1"/>
  <c r="C399" i="1"/>
  <c r="D399" i="1"/>
  <c r="B400" i="1"/>
  <c r="C400" i="1"/>
  <c r="D400" i="1"/>
  <c r="B401" i="1"/>
  <c r="C401" i="1"/>
  <c r="D401" i="1"/>
  <c r="B402" i="1"/>
  <c r="C402" i="1"/>
  <c r="D402" i="1"/>
  <c r="B403" i="1"/>
  <c r="C403" i="1"/>
  <c r="D403" i="1"/>
  <c r="B404" i="1"/>
  <c r="C404" i="1"/>
  <c r="D404" i="1"/>
  <c r="B405" i="1"/>
  <c r="C405" i="1"/>
  <c r="D405" i="1"/>
  <c r="B406" i="1"/>
  <c r="C406" i="1"/>
  <c r="D406" i="1"/>
  <c r="B407" i="1"/>
  <c r="C407" i="1"/>
  <c r="D407" i="1"/>
  <c r="B408" i="1"/>
  <c r="C408" i="1"/>
  <c r="D408" i="1"/>
  <c r="B409" i="1"/>
  <c r="C409" i="1"/>
  <c r="D409" i="1"/>
  <c r="B410" i="1"/>
  <c r="C410" i="1"/>
  <c r="D410" i="1"/>
  <c r="B411" i="1"/>
  <c r="C411" i="1"/>
  <c r="D411" i="1"/>
  <c r="B412" i="1"/>
  <c r="C412" i="1"/>
  <c r="D412" i="1"/>
  <c r="B413" i="1"/>
  <c r="C413" i="1"/>
  <c r="D413" i="1"/>
  <c r="B414" i="1"/>
  <c r="C414" i="1"/>
  <c r="D414" i="1"/>
  <c r="B415" i="1"/>
  <c r="C415" i="1"/>
  <c r="D415" i="1"/>
  <c r="B416" i="1"/>
  <c r="C416" i="1"/>
  <c r="D416" i="1"/>
  <c r="B417" i="1"/>
  <c r="C417" i="1"/>
  <c r="D417" i="1"/>
  <c r="B418" i="1"/>
  <c r="C418" i="1"/>
  <c r="D418" i="1"/>
  <c r="B419" i="1"/>
  <c r="C419" i="1"/>
  <c r="D419" i="1"/>
  <c r="B420" i="1"/>
  <c r="C420" i="1"/>
  <c r="D420" i="1"/>
  <c r="B421" i="1"/>
  <c r="C421" i="1"/>
  <c r="D421" i="1"/>
  <c r="B422" i="1"/>
  <c r="C422" i="1"/>
  <c r="D422" i="1"/>
  <c r="B423" i="1"/>
  <c r="C423" i="1"/>
  <c r="D423" i="1"/>
  <c r="B424" i="1"/>
  <c r="C424" i="1"/>
  <c r="D424" i="1"/>
  <c r="B425" i="1"/>
  <c r="C425" i="1"/>
  <c r="D425" i="1"/>
  <c r="B426" i="1"/>
  <c r="C426" i="1"/>
  <c r="D426" i="1"/>
  <c r="B427" i="1"/>
  <c r="C427" i="1"/>
  <c r="D427" i="1"/>
  <c r="B428" i="1"/>
  <c r="C428" i="1"/>
  <c r="D428" i="1"/>
  <c r="B429" i="1"/>
  <c r="C429" i="1"/>
  <c r="D429" i="1"/>
  <c r="B430" i="1"/>
  <c r="C430" i="1"/>
  <c r="D430" i="1"/>
  <c r="B431" i="1"/>
  <c r="C431" i="1"/>
  <c r="D431" i="1"/>
  <c r="B432" i="1"/>
  <c r="C432" i="1"/>
  <c r="D432" i="1"/>
  <c r="B433" i="1"/>
  <c r="C433" i="1"/>
  <c r="D433" i="1"/>
  <c r="B434" i="1"/>
  <c r="C434" i="1"/>
  <c r="D434" i="1"/>
  <c r="B435" i="1"/>
  <c r="C435" i="1"/>
  <c r="D435" i="1"/>
  <c r="B436" i="1"/>
  <c r="C436" i="1"/>
  <c r="D436" i="1"/>
  <c r="B437" i="1"/>
  <c r="C437" i="1"/>
  <c r="D437" i="1"/>
  <c r="B438" i="1"/>
  <c r="C438" i="1"/>
  <c r="D438" i="1"/>
  <c r="B439" i="1"/>
  <c r="C439" i="1"/>
  <c r="D439" i="1"/>
  <c r="B440" i="1"/>
  <c r="C440" i="1"/>
  <c r="D440" i="1"/>
  <c r="B441" i="1"/>
  <c r="C441" i="1"/>
  <c r="D441" i="1"/>
  <c r="B442" i="1"/>
  <c r="C442" i="1"/>
  <c r="D442" i="1"/>
  <c r="B443" i="1"/>
  <c r="C443" i="1"/>
  <c r="D443" i="1"/>
  <c r="B444" i="1"/>
  <c r="C444" i="1"/>
  <c r="D444" i="1"/>
  <c r="B445" i="1"/>
  <c r="C445" i="1"/>
  <c r="D445" i="1"/>
  <c r="B446" i="1"/>
  <c r="C446" i="1"/>
  <c r="D446" i="1"/>
  <c r="B447" i="1"/>
  <c r="C447" i="1"/>
  <c r="D447" i="1"/>
  <c r="B448" i="1"/>
  <c r="C448" i="1"/>
  <c r="D448" i="1"/>
  <c r="B449" i="1"/>
  <c r="C449" i="1"/>
  <c r="D449" i="1"/>
  <c r="B450" i="1"/>
  <c r="C450" i="1"/>
  <c r="D450" i="1"/>
  <c r="B451" i="1"/>
  <c r="C451" i="1"/>
  <c r="D451" i="1"/>
  <c r="B452" i="1"/>
  <c r="C452" i="1"/>
  <c r="D452" i="1"/>
  <c r="B453" i="1"/>
  <c r="C453" i="1"/>
  <c r="D453" i="1"/>
  <c r="B454" i="1"/>
  <c r="C454" i="1"/>
  <c r="D454" i="1"/>
  <c r="B455" i="1"/>
  <c r="C455" i="1"/>
  <c r="D455" i="1"/>
  <c r="B456" i="1"/>
  <c r="C456" i="1"/>
  <c r="D456" i="1"/>
  <c r="B457" i="1"/>
  <c r="C457" i="1"/>
  <c r="D457" i="1"/>
  <c r="B458" i="1"/>
  <c r="C458" i="1"/>
  <c r="D458" i="1"/>
  <c r="B459" i="1"/>
  <c r="C459" i="1"/>
  <c r="D459" i="1"/>
  <c r="B460" i="1"/>
  <c r="C460" i="1"/>
  <c r="D460" i="1"/>
  <c r="B461" i="1"/>
  <c r="C461" i="1"/>
  <c r="D461" i="1"/>
  <c r="B462" i="1"/>
  <c r="C462" i="1"/>
  <c r="D462" i="1"/>
  <c r="B463" i="1"/>
  <c r="C463" i="1"/>
  <c r="D463" i="1"/>
  <c r="B464" i="1"/>
  <c r="C464" i="1"/>
  <c r="D464" i="1"/>
  <c r="B465" i="1"/>
  <c r="C465" i="1"/>
  <c r="D465" i="1"/>
  <c r="B466" i="1"/>
  <c r="C466" i="1"/>
  <c r="D466" i="1"/>
  <c r="B467" i="1"/>
  <c r="C467" i="1"/>
  <c r="D467" i="1"/>
  <c r="B468" i="1"/>
  <c r="C468" i="1"/>
  <c r="D468" i="1"/>
  <c r="B469" i="1"/>
  <c r="C469" i="1"/>
  <c r="D469" i="1"/>
  <c r="B470" i="1"/>
  <c r="C470" i="1"/>
  <c r="D470" i="1"/>
  <c r="B471" i="1"/>
  <c r="C471" i="1"/>
  <c r="D471" i="1"/>
  <c r="B472" i="1"/>
  <c r="C472" i="1"/>
  <c r="D472" i="1"/>
  <c r="B473" i="1"/>
  <c r="C473" i="1"/>
  <c r="D473" i="1"/>
  <c r="B474" i="1"/>
  <c r="C474" i="1"/>
  <c r="D474" i="1"/>
  <c r="B475" i="1"/>
  <c r="C475" i="1"/>
  <c r="D475" i="1"/>
  <c r="B476" i="1"/>
  <c r="C476" i="1"/>
  <c r="D476" i="1"/>
  <c r="B477" i="1"/>
  <c r="C477" i="1"/>
  <c r="D477" i="1"/>
  <c r="B478" i="1"/>
  <c r="C478" i="1"/>
  <c r="D478" i="1"/>
  <c r="B479" i="1"/>
  <c r="C479" i="1"/>
  <c r="D479" i="1"/>
  <c r="B480" i="1"/>
  <c r="C480" i="1"/>
  <c r="D480" i="1"/>
  <c r="B481" i="1"/>
  <c r="C481" i="1"/>
  <c r="D481" i="1"/>
  <c r="B482" i="1"/>
  <c r="C482" i="1"/>
  <c r="D482" i="1"/>
  <c r="B483" i="1"/>
  <c r="C483" i="1"/>
  <c r="D483" i="1"/>
  <c r="B484" i="1"/>
  <c r="C484" i="1"/>
  <c r="D484" i="1"/>
  <c r="B485" i="1"/>
  <c r="C485" i="1"/>
  <c r="D485" i="1"/>
  <c r="B486" i="1"/>
  <c r="C486" i="1"/>
  <c r="D486" i="1"/>
  <c r="B487" i="1"/>
  <c r="C487" i="1"/>
  <c r="D487" i="1"/>
  <c r="B488" i="1"/>
  <c r="C488" i="1"/>
  <c r="D488" i="1"/>
  <c r="B489" i="1"/>
  <c r="C489" i="1"/>
  <c r="D489" i="1"/>
  <c r="B490" i="1"/>
  <c r="C490" i="1"/>
  <c r="D490" i="1"/>
  <c r="B491" i="1"/>
  <c r="C491" i="1"/>
  <c r="D491" i="1"/>
  <c r="B492" i="1"/>
  <c r="C492" i="1"/>
  <c r="D492" i="1"/>
  <c r="B493" i="1"/>
  <c r="C493" i="1"/>
  <c r="D493" i="1"/>
  <c r="B494" i="1"/>
  <c r="C494" i="1"/>
  <c r="D494" i="1"/>
  <c r="B495" i="1"/>
  <c r="C495" i="1"/>
  <c r="D495" i="1"/>
  <c r="B496" i="1"/>
  <c r="C496" i="1"/>
  <c r="D496" i="1"/>
  <c r="B497" i="1"/>
  <c r="C497" i="1"/>
  <c r="D497" i="1"/>
  <c r="B498" i="1"/>
  <c r="C498" i="1"/>
  <c r="D498" i="1"/>
  <c r="D2" i="1"/>
  <c r="C2" i="1"/>
  <c r="B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2" i="1"/>
  <c r="J495" i="1" l="1"/>
  <c r="K495" i="1"/>
  <c r="I495" i="1"/>
  <c r="H495" i="1"/>
  <c r="G495" i="1"/>
  <c r="J487" i="1"/>
  <c r="K487" i="1"/>
  <c r="H487" i="1"/>
  <c r="G487" i="1"/>
  <c r="I487" i="1"/>
  <c r="K475" i="1"/>
  <c r="J475" i="1"/>
  <c r="I475" i="1"/>
  <c r="G475" i="1"/>
  <c r="H475" i="1"/>
  <c r="K467" i="1"/>
  <c r="J467" i="1"/>
  <c r="I467" i="1"/>
  <c r="G467" i="1"/>
  <c r="H467" i="1"/>
  <c r="K459" i="1"/>
  <c r="J459" i="1"/>
  <c r="H459" i="1"/>
  <c r="I459" i="1"/>
  <c r="G459" i="1"/>
  <c r="J447" i="1"/>
  <c r="I447" i="1"/>
  <c r="H447" i="1"/>
  <c r="K447" i="1"/>
  <c r="G447" i="1"/>
  <c r="J439" i="1"/>
  <c r="I439" i="1"/>
  <c r="H439" i="1"/>
  <c r="K439" i="1"/>
  <c r="G439" i="1"/>
  <c r="J431" i="1"/>
  <c r="I431" i="1"/>
  <c r="K431" i="1"/>
  <c r="H431" i="1"/>
  <c r="G431" i="1"/>
  <c r="K419" i="1"/>
  <c r="J419" i="1"/>
  <c r="I419" i="1"/>
  <c r="H419" i="1"/>
  <c r="G419" i="1"/>
  <c r="K411" i="1"/>
  <c r="J411" i="1"/>
  <c r="I411" i="1"/>
  <c r="H411" i="1"/>
  <c r="G411" i="1"/>
  <c r="K403" i="1"/>
  <c r="J403" i="1"/>
  <c r="I403" i="1"/>
  <c r="H403" i="1"/>
  <c r="G403" i="1"/>
  <c r="K395" i="1"/>
  <c r="J395" i="1"/>
  <c r="I395" i="1"/>
  <c r="H395" i="1"/>
  <c r="G395" i="1"/>
  <c r="K387" i="1"/>
  <c r="J387" i="1"/>
  <c r="I387" i="1"/>
  <c r="H387" i="1"/>
  <c r="G387" i="1"/>
  <c r="K375" i="1"/>
  <c r="J375" i="1"/>
  <c r="I375" i="1"/>
  <c r="H375" i="1"/>
  <c r="G375" i="1"/>
  <c r="K363" i="1"/>
  <c r="J363" i="1"/>
  <c r="I363" i="1"/>
  <c r="H363" i="1"/>
  <c r="G363" i="1"/>
  <c r="K355" i="1"/>
  <c r="J355" i="1"/>
  <c r="I355" i="1"/>
  <c r="H355" i="1"/>
  <c r="G355" i="1"/>
  <c r="K347" i="1"/>
  <c r="J347" i="1"/>
  <c r="I347" i="1"/>
  <c r="H347" i="1"/>
  <c r="G347" i="1"/>
  <c r="J339" i="1"/>
  <c r="K339" i="1"/>
  <c r="I339" i="1"/>
  <c r="H339" i="1"/>
  <c r="G339" i="1"/>
  <c r="K331" i="1"/>
  <c r="J331" i="1"/>
  <c r="I331" i="1"/>
  <c r="H331" i="1"/>
  <c r="G331" i="1"/>
  <c r="K323" i="1"/>
  <c r="J323" i="1"/>
  <c r="I323" i="1"/>
  <c r="H323" i="1"/>
  <c r="G323" i="1"/>
  <c r="K315" i="1"/>
  <c r="J315" i="1"/>
  <c r="I315" i="1"/>
  <c r="H315" i="1"/>
  <c r="G315" i="1"/>
  <c r="K311" i="1"/>
  <c r="J311" i="1"/>
  <c r="I311" i="1"/>
  <c r="H311" i="1"/>
  <c r="G311" i="1"/>
  <c r="K303" i="1"/>
  <c r="J303" i="1"/>
  <c r="I303" i="1"/>
  <c r="H303" i="1"/>
  <c r="G303" i="1"/>
  <c r="K291" i="1"/>
  <c r="J291" i="1"/>
  <c r="I291" i="1"/>
  <c r="G291" i="1"/>
  <c r="H291" i="1"/>
  <c r="K283" i="1"/>
  <c r="J283" i="1"/>
  <c r="I283" i="1"/>
  <c r="G283" i="1"/>
  <c r="H283" i="1"/>
  <c r="K275" i="1"/>
  <c r="J275" i="1"/>
  <c r="I275" i="1"/>
  <c r="G275" i="1"/>
  <c r="H275" i="1"/>
  <c r="K267" i="1"/>
  <c r="J267" i="1"/>
  <c r="I267" i="1"/>
  <c r="G267" i="1"/>
  <c r="H267" i="1"/>
  <c r="K259" i="1"/>
  <c r="J259" i="1"/>
  <c r="I259" i="1"/>
  <c r="G259" i="1"/>
  <c r="H259" i="1"/>
  <c r="J251" i="1"/>
  <c r="I251" i="1"/>
  <c r="G251" i="1"/>
  <c r="H251" i="1"/>
  <c r="K251" i="1"/>
  <c r="K239" i="1"/>
  <c r="J239" i="1"/>
  <c r="I239" i="1"/>
  <c r="G239" i="1"/>
  <c r="H239" i="1"/>
  <c r="K231" i="1"/>
  <c r="J231" i="1"/>
  <c r="I231" i="1"/>
  <c r="G231" i="1"/>
  <c r="H231" i="1"/>
  <c r="K223" i="1"/>
  <c r="J223" i="1"/>
  <c r="I223" i="1"/>
  <c r="G223" i="1"/>
  <c r="H223" i="1"/>
  <c r="K215" i="1"/>
  <c r="J215" i="1"/>
  <c r="I215" i="1"/>
  <c r="G215" i="1"/>
  <c r="H215" i="1"/>
  <c r="K207" i="1"/>
  <c r="J207" i="1"/>
  <c r="I207" i="1"/>
  <c r="G207" i="1"/>
  <c r="H207" i="1"/>
  <c r="K199" i="1"/>
  <c r="J199" i="1"/>
  <c r="I199" i="1"/>
  <c r="G199" i="1"/>
  <c r="H199" i="1"/>
  <c r="K191" i="1"/>
  <c r="J191" i="1"/>
  <c r="I191" i="1"/>
  <c r="G191" i="1"/>
  <c r="H191" i="1"/>
  <c r="K183" i="1"/>
  <c r="J183" i="1"/>
  <c r="I183" i="1"/>
  <c r="G183" i="1"/>
  <c r="H183" i="1"/>
  <c r="K175" i="1"/>
  <c r="J175" i="1"/>
  <c r="I175" i="1"/>
  <c r="G175" i="1"/>
  <c r="H175" i="1"/>
  <c r="K163" i="1"/>
  <c r="J163" i="1"/>
  <c r="I163" i="1"/>
  <c r="G163" i="1"/>
  <c r="H163" i="1"/>
  <c r="K139" i="1"/>
  <c r="J139" i="1"/>
  <c r="I139" i="1"/>
  <c r="G139" i="1"/>
  <c r="H139" i="1"/>
  <c r="K497" i="1"/>
  <c r="I497" i="1"/>
  <c r="H497" i="1"/>
  <c r="G497" i="1"/>
  <c r="J497" i="1"/>
  <c r="K493" i="1"/>
  <c r="I493" i="1"/>
  <c r="J493" i="1"/>
  <c r="H493" i="1"/>
  <c r="G493" i="1"/>
  <c r="K489" i="1"/>
  <c r="J489" i="1"/>
  <c r="I489" i="1"/>
  <c r="H489" i="1"/>
  <c r="G489" i="1"/>
  <c r="K485" i="1"/>
  <c r="I485" i="1"/>
  <c r="J485" i="1"/>
  <c r="H485" i="1"/>
  <c r="G485" i="1"/>
  <c r="K481" i="1"/>
  <c r="I481" i="1"/>
  <c r="H481" i="1"/>
  <c r="J481" i="1"/>
  <c r="G481" i="1"/>
  <c r="K477" i="1"/>
  <c r="I477" i="1"/>
  <c r="J477" i="1"/>
  <c r="H477" i="1"/>
  <c r="G477" i="1"/>
  <c r="K473" i="1"/>
  <c r="J473" i="1"/>
  <c r="I473" i="1"/>
  <c r="H473" i="1"/>
  <c r="G473" i="1"/>
  <c r="K469" i="1"/>
  <c r="I469" i="1"/>
  <c r="J469" i="1"/>
  <c r="H469" i="1"/>
  <c r="G469" i="1"/>
  <c r="K465" i="1"/>
  <c r="I465" i="1"/>
  <c r="H465" i="1"/>
  <c r="G465" i="1"/>
  <c r="J465" i="1"/>
  <c r="K461" i="1"/>
  <c r="I461" i="1"/>
  <c r="J461" i="1"/>
  <c r="H461" i="1"/>
  <c r="G461" i="1"/>
  <c r="K457" i="1"/>
  <c r="J457" i="1"/>
  <c r="I457" i="1"/>
  <c r="H457" i="1"/>
  <c r="G457" i="1"/>
  <c r="K453" i="1"/>
  <c r="I453" i="1"/>
  <c r="J453" i="1"/>
  <c r="H453" i="1"/>
  <c r="G453" i="1"/>
  <c r="K449" i="1"/>
  <c r="H449" i="1"/>
  <c r="G449" i="1"/>
  <c r="J449" i="1"/>
  <c r="I449" i="1"/>
  <c r="K445" i="1"/>
  <c r="J445" i="1"/>
  <c r="I445" i="1"/>
  <c r="H445" i="1"/>
  <c r="G445" i="1"/>
  <c r="K441" i="1"/>
  <c r="J441" i="1"/>
  <c r="I441" i="1"/>
  <c r="H441" i="1"/>
  <c r="G441" i="1"/>
  <c r="K437" i="1"/>
  <c r="I437" i="1"/>
  <c r="J437" i="1"/>
  <c r="H437" i="1"/>
  <c r="G437" i="1"/>
  <c r="K433" i="1"/>
  <c r="H433" i="1"/>
  <c r="G433" i="1"/>
  <c r="J433" i="1"/>
  <c r="I433" i="1"/>
  <c r="K429" i="1"/>
  <c r="J429" i="1"/>
  <c r="I429" i="1"/>
  <c r="H429" i="1"/>
  <c r="G429" i="1"/>
  <c r="K425" i="1"/>
  <c r="J425" i="1"/>
  <c r="I425" i="1"/>
  <c r="H425" i="1"/>
  <c r="G425" i="1"/>
  <c r="K421" i="1"/>
  <c r="I421" i="1"/>
  <c r="J421" i="1"/>
  <c r="H421" i="1"/>
  <c r="G421" i="1"/>
  <c r="K417" i="1"/>
  <c r="H417" i="1"/>
  <c r="J417" i="1"/>
  <c r="I417" i="1"/>
  <c r="G417" i="1"/>
  <c r="K413" i="1"/>
  <c r="J413" i="1"/>
  <c r="I413" i="1"/>
  <c r="H413" i="1"/>
  <c r="G413" i="1"/>
  <c r="K409" i="1"/>
  <c r="J409" i="1"/>
  <c r="I409" i="1"/>
  <c r="H409" i="1"/>
  <c r="G409" i="1"/>
  <c r="K405" i="1"/>
  <c r="I405" i="1"/>
  <c r="J405" i="1"/>
  <c r="H405" i="1"/>
  <c r="G405" i="1"/>
  <c r="H401" i="1"/>
  <c r="K401" i="1"/>
  <c r="I401" i="1"/>
  <c r="J401" i="1"/>
  <c r="G401" i="1"/>
  <c r="K397" i="1"/>
  <c r="J397" i="1"/>
  <c r="I397" i="1"/>
  <c r="H397" i="1"/>
  <c r="G397" i="1"/>
  <c r="K393" i="1"/>
  <c r="J393" i="1"/>
  <c r="I393" i="1"/>
  <c r="H393" i="1"/>
  <c r="G393" i="1"/>
  <c r="K389" i="1"/>
  <c r="I389" i="1"/>
  <c r="J389" i="1"/>
  <c r="H389" i="1"/>
  <c r="G389" i="1"/>
  <c r="K385" i="1"/>
  <c r="H385" i="1"/>
  <c r="J385" i="1"/>
  <c r="I385" i="1"/>
  <c r="G385" i="1"/>
  <c r="K381" i="1"/>
  <c r="J381" i="1"/>
  <c r="I381" i="1"/>
  <c r="H381" i="1"/>
  <c r="G381" i="1"/>
  <c r="K377" i="1"/>
  <c r="J377" i="1"/>
  <c r="I377" i="1"/>
  <c r="H377" i="1"/>
  <c r="G377" i="1"/>
  <c r="K373" i="1"/>
  <c r="I373" i="1"/>
  <c r="J373" i="1"/>
  <c r="H373" i="1"/>
  <c r="G373" i="1"/>
  <c r="K369" i="1"/>
  <c r="H369" i="1"/>
  <c r="J369" i="1"/>
  <c r="I369" i="1"/>
  <c r="G369" i="1"/>
  <c r="K365" i="1"/>
  <c r="J365" i="1"/>
  <c r="I365" i="1"/>
  <c r="H365" i="1"/>
  <c r="G365" i="1"/>
  <c r="K361" i="1"/>
  <c r="J361" i="1"/>
  <c r="I361" i="1"/>
  <c r="H361" i="1"/>
  <c r="G361" i="1"/>
  <c r="K357" i="1"/>
  <c r="I357" i="1"/>
  <c r="J357" i="1"/>
  <c r="H357" i="1"/>
  <c r="G357" i="1"/>
  <c r="K353" i="1"/>
  <c r="H353" i="1"/>
  <c r="J353" i="1"/>
  <c r="I353" i="1"/>
  <c r="G353" i="1"/>
  <c r="K349" i="1"/>
  <c r="J349" i="1"/>
  <c r="I349" i="1"/>
  <c r="H349" i="1"/>
  <c r="G349" i="1"/>
  <c r="K345" i="1"/>
  <c r="J345" i="1"/>
  <c r="I345" i="1"/>
  <c r="H345" i="1"/>
  <c r="G345" i="1"/>
  <c r="K341" i="1"/>
  <c r="I341" i="1"/>
  <c r="J341" i="1"/>
  <c r="H341" i="1"/>
  <c r="G341" i="1"/>
  <c r="K337" i="1"/>
  <c r="H337" i="1"/>
  <c r="I337" i="1"/>
  <c r="J337" i="1"/>
  <c r="G337" i="1"/>
  <c r="K333" i="1"/>
  <c r="J333" i="1"/>
  <c r="I333" i="1"/>
  <c r="H333" i="1"/>
  <c r="G333" i="1"/>
  <c r="K329" i="1"/>
  <c r="J329" i="1"/>
  <c r="I329" i="1"/>
  <c r="H329" i="1"/>
  <c r="G329" i="1"/>
  <c r="K325" i="1"/>
  <c r="I325" i="1"/>
  <c r="J325" i="1"/>
  <c r="H325" i="1"/>
  <c r="G325" i="1"/>
  <c r="K321" i="1"/>
  <c r="H321" i="1"/>
  <c r="J321" i="1"/>
  <c r="I321" i="1"/>
  <c r="G321" i="1"/>
  <c r="K317" i="1"/>
  <c r="J317" i="1"/>
  <c r="I317" i="1"/>
  <c r="H317" i="1"/>
  <c r="G317" i="1"/>
  <c r="K313" i="1"/>
  <c r="J313" i="1"/>
  <c r="I313" i="1"/>
  <c r="H313" i="1"/>
  <c r="G313" i="1"/>
  <c r="K309" i="1"/>
  <c r="I309" i="1"/>
  <c r="J309" i="1"/>
  <c r="H309" i="1"/>
  <c r="G309" i="1"/>
  <c r="K305" i="1"/>
  <c r="H305" i="1"/>
  <c r="J305" i="1"/>
  <c r="I305" i="1"/>
  <c r="G305" i="1"/>
  <c r="K301" i="1"/>
  <c r="J301" i="1"/>
  <c r="I301" i="1"/>
  <c r="H301" i="1"/>
  <c r="G301" i="1"/>
  <c r="K297" i="1"/>
  <c r="J297" i="1"/>
  <c r="I297" i="1"/>
  <c r="H297" i="1"/>
  <c r="G297" i="1"/>
  <c r="K293" i="1"/>
  <c r="I293" i="1"/>
  <c r="J293" i="1"/>
  <c r="H293" i="1"/>
  <c r="G293" i="1"/>
  <c r="K289" i="1"/>
  <c r="H289" i="1"/>
  <c r="J289" i="1"/>
  <c r="I289" i="1"/>
  <c r="G289" i="1"/>
  <c r="K285" i="1"/>
  <c r="J285" i="1"/>
  <c r="I285" i="1"/>
  <c r="H285" i="1"/>
  <c r="G285" i="1"/>
  <c r="K281" i="1"/>
  <c r="J281" i="1"/>
  <c r="I281" i="1"/>
  <c r="H281" i="1"/>
  <c r="G281" i="1"/>
  <c r="K277" i="1"/>
  <c r="I277" i="1"/>
  <c r="J277" i="1"/>
  <c r="H277" i="1"/>
  <c r="G277" i="1"/>
  <c r="K273" i="1"/>
  <c r="I273" i="1"/>
  <c r="H273" i="1"/>
  <c r="G273" i="1"/>
  <c r="J273" i="1"/>
  <c r="K269" i="1"/>
  <c r="J269" i="1"/>
  <c r="I269" i="1"/>
  <c r="H269" i="1"/>
  <c r="G269" i="1"/>
  <c r="K265" i="1"/>
  <c r="J265" i="1"/>
  <c r="I265" i="1"/>
  <c r="H265" i="1"/>
  <c r="G265" i="1"/>
  <c r="K261" i="1"/>
  <c r="I261" i="1"/>
  <c r="J261" i="1"/>
  <c r="H261" i="1"/>
  <c r="G261" i="1"/>
  <c r="K257" i="1"/>
  <c r="I257" i="1"/>
  <c r="H257" i="1"/>
  <c r="G257" i="1"/>
  <c r="J257" i="1"/>
  <c r="K253" i="1"/>
  <c r="J253" i="1"/>
  <c r="I253" i="1"/>
  <c r="H253" i="1"/>
  <c r="G253" i="1"/>
  <c r="K249" i="1"/>
  <c r="J249" i="1"/>
  <c r="I249" i="1"/>
  <c r="H249" i="1"/>
  <c r="G249" i="1"/>
  <c r="K245" i="1"/>
  <c r="I245" i="1"/>
  <c r="J245" i="1"/>
  <c r="H245" i="1"/>
  <c r="G245" i="1"/>
  <c r="K241" i="1"/>
  <c r="I241" i="1"/>
  <c r="H241" i="1"/>
  <c r="G241" i="1"/>
  <c r="J241" i="1"/>
  <c r="K237" i="1"/>
  <c r="J237" i="1"/>
  <c r="I237" i="1"/>
  <c r="H237" i="1"/>
  <c r="G237" i="1"/>
  <c r="K233" i="1"/>
  <c r="J233" i="1"/>
  <c r="I233" i="1"/>
  <c r="H233" i="1"/>
  <c r="G233" i="1"/>
  <c r="K229" i="1"/>
  <c r="I229" i="1"/>
  <c r="J229" i="1"/>
  <c r="H229" i="1"/>
  <c r="G229" i="1"/>
  <c r="K225" i="1"/>
  <c r="I225" i="1"/>
  <c r="H225" i="1"/>
  <c r="J225" i="1"/>
  <c r="G225" i="1"/>
  <c r="K221" i="1"/>
  <c r="J221" i="1"/>
  <c r="I221" i="1"/>
  <c r="H221" i="1"/>
  <c r="G221" i="1"/>
  <c r="K217" i="1"/>
  <c r="J217" i="1"/>
  <c r="I217" i="1"/>
  <c r="H217" i="1"/>
  <c r="G217" i="1"/>
  <c r="K213" i="1"/>
  <c r="I213" i="1"/>
  <c r="J213" i="1"/>
  <c r="H213" i="1"/>
  <c r="G213" i="1"/>
  <c r="K209" i="1"/>
  <c r="I209" i="1"/>
  <c r="H209" i="1"/>
  <c r="G209" i="1"/>
  <c r="J209" i="1"/>
  <c r="K205" i="1"/>
  <c r="J205" i="1"/>
  <c r="I205" i="1"/>
  <c r="H205" i="1"/>
  <c r="G205" i="1"/>
  <c r="K201" i="1"/>
  <c r="J201" i="1"/>
  <c r="I201" i="1"/>
  <c r="H201" i="1"/>
  <c r="G201" i="1"/>
  <c r="K197" i="1"/>
  <c r="I197" i="1"/>
  <c r="J197" i="1"/>
  <c r="H197" i="1"/>
  <c r="G197" i="1"/>
  <c r="K193" i="1"/>
  <c r="I193" i="1"/>
  <c r="H193" i="1"/>
  <c r="G193" i="1"/>
  <c r="J193" i="1"/>
  <c r="K189" i="1"/>
  <c r="J189" i="1"/>
  <c r="I189" i="1"/>
  <c r="H189" i="1"/>
  <c r="G189" i="1"/>
  <c r="K185" i="1"/>
  <c r="J185" i="1"/>
  <c r="I185" i="1"/>
  <c r="H185" i="1"/>
  <c r="G185" i="1"/>
  <c r="K181" i="1"/>
  <c r="I181" i="1"/>
  <c r="J181" i="1"/>
  <c r="H181" i="1"/>
  <c r="G181" i="1"/>
  <c r="K177" i="1"/>
  <c r="I177" i="1"/>
  <c r="H177" i="1"/>
  <c r="G177" i="1"/>
  <c r="J177" i="1"/>
  <c r="K173" i="1"/>
  <c r="J173" i="1"/>
  <c r="I173" i="1"/>
  <c r="H173" i="1"/>
  <c r="G173" i="1"/>
  <c r="K169" i="1"/>
  <c r="J169" i="1"/>
  <c r="I169" i="1"/>
  <c r="H169" i="1"/>
  <c r="G169" i="1"/>
  <c r="K165" i="1"/>
  <c r="I165" i="1"/>
  <c r="J165" i="1"/>
  <c r="H165" i="1"/>
  <c r="G165" i="1"/>
  <c r="K161" i="1"/>
  <c r="I161" i="1"/>
  <c r="H161" i="1"/>
  <c r="J161" i="1"/>
  <c r="G161" i="1"/>
  <c r="K157" i="1"/>
  <c r="J157" i="1"/>
  <c r="I157" i="1"/>
  <c r="H157" i="1"/>
  <c r="G157" i="1"/>
  <c r="K153" i="1"/>
  <c r="J153" i="1"/>
  <c r="I153" i="1"/>
  <c r="H153" i="1"/>
  <c r="G153" i="1"/>
  <c r="K149" i="1"/>
  <c r="I149" i="1"/>
  <c r="J149" i="1"/>
  <c r="H149" i="1"/>
  <c r="G149" i="1"/>
  <c r="K145" i="1"/>
  <c r="I145" i="1"/>
  <c r="H145" i="1"/>
  <c r="G145" i="1"/>
  <c r="J145" i="1"/>
  <c r="K141" i="1"/>
  <c r="J141" i="1"/>
  <c r="I141" i="1"/>
  <c r="H141" i="1"/>
  <c r="G141" i="1"/>
  <c r="K137" i="1"/>
  <c r="J137" i="1"/>
  <c r="I137" i="1"/>
  <c r="H137" i="1"/>
  <c r="G137" i="1"/>
  <c r="K133" i="1"/>
  <c r="I133" i="1"/>
  <c r="J133" i="1"/>
  <c r="H133" i="1"/>
  <c r="G133" i="1"/>
  <c r="K129" i="1"/>
  <c r="I129" i="1"/>
  <c r="H129" i="1"/>
  <c r="G129" i="1"/>
  <c r="J129" i="1"/>
  <c r="K125" i="1"/>
  <c r="J125" i="1"/>
  <c r="I125" i="1"/>
  <c r="H125" i="1"/>
  <c r="G125" i="1"/>
  <c r="K121" i="1"/>
  <c r="J121" i="1"/>
  <c r="I121" i="1"/>
  <c r="H121" i="1"/>
  <c r="G121" i="1"/>
  <c r="K117" i="1"/>
  <c r="I117" i="1"/>
  <c r="J117" i="1"/>
  <c r="H117" i="1"/>
  <c r="G117" i="1"/>
  <c r="K113" i="1"/>
  <c r="I113" i="1"/>
  <c r="H113" i="1"/>
  <c r="G113" i="1"/>
  <c r="J113" i="1"/>
  <c r="K109" i="1"/>
  <c r="J109" i="1"/>
  <c r="I109" i="1"/>
  <c r="H109" i="1"/>
  <c r="G109" i="1"/>
  <c r="K105" i="1"/>
  <c r="J105" i="1"/>
  <c r="I105" i="1"/>
  <c r="H105" i="1"/>
  <c r="G105" i="1"/>
  <c r="K101" i="1"/>
  <c r="I101" i="1"/>
  <c r="J101" i="1"/>
  <c r="H101" i="1"/>
  <c r="G101" i="1"/>
  <c r="K97" i="1"/>
  <c r="I97" i="1"/>
  <c r="H97" i="1"/>
  <c r="J97" i="1"/>
  <c r="G97" i="1"/>
  <c r="K93" i="1"/>
  <c r="I93" i="1"/>
  <c r="J93" i="1"/>
  <c r="H93" i="1"/>
  <c r="G93" i="1"/>
  <c r="K89" i="1"/>
  <c r="I89" i="1"/>
  <c r="J89" i="1"/>
  <c r="H89" i="1"/>
  <c r="G89" i="1"/>
  <c r="K85" i="1"/>
  <c r="I85" i="1"/>
  <c r="J85" i="1"/>
  <c r="H85" i="1"/>
  <c r="G85" i="1"/>
  <c r="K81" i="1"/>
  <c r="I81" i="1"/>
  <c r="H81" i="1"/>
  <c r="G81" i="1"/>
  <c r="J81" i="1"/>
  <c r="K77" i="1"/>
  <c r="I77" i="1"/>
  <c r="J77" i="1"/>
  <c r="H77" i="1"/>
  <c r="G77" i="1"/>
  <c r="K73" i="1"/>
  <c r="I73" i="1"/>
  <c r="J73" i="1"/>
  <c r="H73" i="1"/>
  <c r="G73" i="1"/>
  <c r="K69" i="1"/>
  <c r="I69" i="1"/>
  <c r="J69" i="1"/>
  <c r="H69" i="1"/>
  <c r="G69" i="1"/>
  <c r="K65" i="1"/>
  <c r="I65" i="1"/>
  <c r="H65" i="1"/>
  <c r="G65" i="1"/>
  <c r="J65" i="1"/>
  <c r="K61" i="1"/>
  <c r="I61" i="1"/>
  <c r="J61" i="1"/>
  <c r="H61" i="1"/>
  <c r="G61" i="1"/>
  <c r="K57" i="1"/>
  <c r="I57" i="1"/>
  <c r="J57" i="1"/>
  <c r="H57" i="1"/>
  <c r="G57" i="1"/>
  <c r="K53" i="1"/>
  <c r="I53" i="1"/>
  <c r="J53" i="1"/>
  <c r="H53" i="1"/>
  <c r="G53" i="1"/>
  <c r="K49" i="1"/>
  <c r="I49" i="1"/>
  <c r="H49" i="1"/>
  <c r="G49" i="1"/>
  <c r="J49" i="1"/>
  <c r="K45" i="1"/>
  <c r="I45" i="1"/>
  <c r="J45" i="1"/>
  <c r="H45" i="1"/>
  <c r="G45" i="1"/>
  <c r="K41" i="1"/>
  <c r="I41" i="1"/>
  <c r="J41" i="1"/>
  <c r="H41" i="1"/>
  <c r="G41" i="1"/>
  <c r="K37" i="1"/>
  <c r="I37" i="1"/>
  <c r="J37" i="1"/>
  <c r="H37" i="1"/>
  <c r="G37" i="1"/>
  <c r="K33" i="1"/>
  <c r="I33" i="1"/>
  <c r="H33" i="1"/>
  <c r="J33" i="1"/>
  <c r="G33" i="1"/>
  <c r="K29" i="1"/>
  <c r="I29" i="1"/>
  <c r="J29" i="1"/>
  <c r="H29" i="1"/>
  <c r="G29" i="1"/>
  <c r="K25" i="1"/>
  <c r="J25" i="1"/>
  <c r="I25" i="1"/>
  <c r="H25" i="1"/>
  <c r="G25" i="1"/>
  <c r="K21" i="1"/>
  <c r="J21" i="1"/>
  <c r="I21" i="1"/>
  <c r="H21" i="1"/>
  <c r="G21" i="1"/>
  <c r="K17" i="1"/>
  <c r="J17" i="1"/>
  <c r="I17" i="1"/>
  <c r="H17" i="1"/>
  <c r="G17" i="1"/>
  <c r="K13" i="1"/>
  <c r="J13" i="1"/>
  <c r="I13" i="1"/>
  <c r="H13" i="1"/>
  <c r="G13" i="1"/>
  <c r="K9" i="1"/>
  <c r="J9" i="1"/>
  <c r="I9" i="1"/>
  <c r="H9" i="1"/>
  <c r="G9" i="1"/>
  <c r="K5" i="1"/>
  <c r="J5" i="1"/>
  <c r="I5" i="1"/>
  <c r="H5" i="1"/>
  <c r="G5" i="1"/>
  <c r="V10" i="1"/>
  <c r="M500" i="1"/>
  <c r="L500" i="1"/>
  <c r="K492" i="1"/>
  <c r="J492" i="1"/>
  <c r="I492" i="1"/>
  <c r="H492" i="1"/>
  <c r="G492" i="1"/>
  <c r="K488" i="1"/>
  <c r="J488" i="1"/>
  <c r="I488" i="1"/>
  <c r="H488" i="1"/>
  <c r="G488" i="1"/>
  <c r="K480" i="1"/>
  <c r="J480" i="1"/>
  <c r="I480" i="1"/>
  <c r="H480" i="1"/>
  <c r="G480" i="1"/>
  <c r="K476" i="1"/>
  <c r="J476" i="1"/>
  <c r="I476" i="1"/>
  <c r="H476" i="1"/>
  <c r="G476" i="1"/>
  <c r="K468" i="1"/>
  <c r="J468" i="1"/>
  <c r="I468" i="1"/>
  <c r="H468" i="1"/>
  <c r="G468" i="1"/>
  <c r="K460" i="1"/>
  <c r="J460" i="1"/>
  <c r="I460" i="1"/>
  <c r="H460" i="1"/>
  <c r="G460" i="1"/>
  <c r="K452" i="1"/>
  <c r="J452" i="1"/>
  <c r="I452" i="1"/>
  <c r="G452" i="1"/>
  <c r="H452" i="1"/>
  <c r="K440" i="1"/>
  <c r="J440" i="1"/>
  <c r="I440" i="1"/>
  <c r="H440" i="1"/>
  <c r="G440" i="1"/>
  <c r="K432" i="1"/>
  <c r="J432" i="1"/>
  <c r="I432" i="1"/>
  <c r="H432" i="1"/>
  <c r="G432" i="1"/>
  <c r="K424" i="1"/>
  <c r="J424" i="1"/>
  <c r="I424" i="1"/>
  <c r="H424" i="1"/>
  <c r="G424" i="1"/>
  <c r="K416" i="1"/>
  <c r="J416" i="1"/>
  <c r="I416" i="1"/>
  <c r="H416" i="1"/>
  <c r="G416" i="1"/>
  <c r="K408" i="1"/>
  <c r="J408" i="1"/>
  <c r="I408" i="1"/>
  <c r="H408" i="1"/>
  <c r="G408" i="1"/>
  <c r="K404" i="1"/>
  <c r="J404" i="1"/>
  <c r="I404" i="1"/>
  <c r="G404" i="1"/>
  <c r="H404" i="1"/>
  <c r="K396" i="1"/>
  <c r="J396" i="1"/>
  <c r="I396" i="1"/>
  <c r="H396" i="1"/>
  <c r="G396" i="1"/>
  <c r="K388" i="1"/>
  <c r="J388" i="1"/>
  <c r="I388" i="1"/>
  <c r="G388" i="1"/>
  <c r="H388" i="1"/>
  <c r="K380" i="1"/>
  <c r="J380" i="1"/>
  <c r="I380" i="1"/>
  <c r="H380" i="1"/>
  <c r="G380" i="1"/>
  <c r="K372" i="1"/>
  <c r="J372" i="1"/>
  <c r="I372" i="1"/>
  <c r="G372" i="1"/>
  <c r="H372" i="1"/>
  <c r="K368" i="1"/>
  <c r="J368" i="1"/>
  <c r="I368" i="1"/>
  <c r="H368" i="1"/>
  <c r="G368" i="1"/>
  <c r="K360" i="1"/>
  <c r="J360" i="1"/>
  <c r="I360" i="1"/>
  <c r="H360" i="1"/>
  <c r="G360" i="1"/>
  <c r="K352" i="1"/>
  <c r="J352" i="1"/>
  <c r="I352" i="1"/>
  <c r="H352" i="1"/>
  <c r="G352" i="1"/>
  <c r="K344" i="1"/>
  <c r="J344" i="1"/>
  <c r="I344" i="1"/>
  <c r="H344" i="1"/>
  <c r="G344" i="1"/>
  <c r="K336" i="1"/>
  <c r="J336" i="1"/>
  <c r="I336" i="1"/>
  <c r="H336" i="1"/>
  <c r="G336" i="1"/>
  <c r="K328" i="1"/>
  <c r="J328" i="1"/>
  <c r="I328" i="1"/>
  <c r="H328" i="1"/>
  <c r="G328" i="1"/>
  <c r="K324" i="1"/>
  <c r="J324" i="1"/>
  <c r="I324" i="1"/>
  <c r="G324" i="1"/>
  <c r="H324" i="1"/>
  <c r="K316" i="1"/>
  <c r="J316" i="1"/>
  <c r="I316" i="1"/>
  <c r="H316" i="1"/>
  <c r="G316" i="1"/>
  <c r="K308" i="1"/>
  <c r="J308" i="1"/>
  <c r="I308" i="1"/>
  <c r="G308" i="1"/>
  <c r="H308" i="1"/>
  <c r="K300" i="1"/>
  <c r="J300" i="1"/>
  <c r="H300" i="1"/>
  <c r="I300" i="1"/>
  <c r="G300" i="1"/>
  <c r="K292" i="1"/>
  <c r="J292" i="1"/>
  <c r="I292" i="1"/>
  <c r="G292" i="1"/>
  <c r="H292" i="1"/>
  <c r="J288" i="1"/>
  <c r="K288" i="1"/>
  <c r="I288" i="1"/>
  <c r="H288" i="1"/>
  <c r="G288" i="1"/>
  <c r="K276" i="1"/>
  <c r="I276" i="1"/>
  <c r="J276" i="1"/>
  <c r="G276" i="1"/>
  <c r="H276" i="1"/>
  <c r="K264" i="1"/>
  <c r="I264" i="1"/>
  <c r="J264" i="1"/>
  <c r="H264" i="1"/>
  <c r="G264" i="1"/>
  <c r="K256" i="1"/>
  <c r="I256" i="1"/>
  <c r="J256" i="1"/>
  <c r="H256" i="1"/>
  <c r="G256" i="1"/>
  <c r="K248" i="1"/>
  <c r="I248" i="1"/>
  <c r="J248" i="1"/>
  <c r="H248" i="1"/>
  <c r="G248" i="1"/>
  <c r="K236" i="1"/>
  <c r="I236" i="1"/>
  <c r="J236" i="1"/>
  <c r="H236" i="1"/>
  <c r="G236" i="1"/>
  <c r="K224" i="1"/>
  <c r="I224" i="1"/>
  <c r="J224" i="1"/>
  <c r="H224" i="1"/>
  <c r="G224" i="1"/>
  <c r="K216" i="1"/>
  <c r="I216" i="1"/>
  <c r="J216" i="1"/>
  <c r="H216" i="1"/>
  <c r="G216" i="1"/>
  <c r="I208" i="1"/>
  <c r="J208" i="1"/>
  <c r="K208" i="1"/>
  <c r="H208" i="1"/>
  <c r="G208" i="1"/>
  <c r="K200" i="1"/>
  <c r="I200" i="1"/>
  <c r="J200" i="1"/>
  <c r="H200" i="1"/>
  <c r="G200" i="1"/>
  <c r="K196" i="1"/>
  <c r="I196" i="1"/>
  <c r="J196" i="1"/>
  <c r="G196" i="1"/>
  <c r="H196" i="1"/>
  <c r="K184" i="1"/>
  <c r="I184" i="1"/>
  <c r="J184" i="1"/>
  <c r="H184" i="1"/>
  <c r="G184" i="1"/>
  <c r="K176" i="1"/>
  <c r="I176" i="1"/>
  <c r="J176" i="1"/>
  <c r="H176" i="1"/>
  <c r="G176" i="1"/>
  <c r="K168" i="1"/>
  <c r="I168" i="1"/>
  <c r="J168" i="1"/>
  <c r="H168" i="1"/>
  <c r="G168" i="1"/>
  <c r="K160" i="1"/>
  <c r="I160" i="1"/>
  <c r="J160" i="1"/>
  <c r="H160" i="1"/>
  <c r="G160" i="1"/>
  <c r="K152" i="1"/>
  <c r="I152" i="1"/>
  <c r="J152" i="1"/>
  <c r="H152" i="1"/>
  <c r="G152" i="1"/>
  <c r="K144" i="1"/>
  <c r="I144" i="1"/>
  <c r="J144" i="1"/>
  <c r="H144" i="1"/>
  <c r="G144" i="1"/>
  <c r="K140" i="1"/>
  <c r="I140" i="1"/>
  <c r="J140" i="1"/>
  <c r="H140" i="1"/>
  <c r="G140" i="1"/>
  <c r="K132" i="1"/>
  <c r="I132" i="1"/>
  <c r="J132" i="1"/>
  <c r="G132" i="1"/>
  <c r="H132" i="1"/>
  <c r="K124" i="1"/>
  <c r="I124" i="1"/>
  <c r="J124" i="1"/>
  <c r="H124" i="1"/>
  <c r="G124" i="1"/>
  <c r="K116" i="1"/>
  <c r="I116" i="1"/>
  <c r="J116" i="1"/>
  <c r="G116" i="1"/>
  <c r="H116" i="1"/>
  <c r="K112" i="1"/>
  <c r="I112" i="1"/>
  <c r="J112" i="1"/>
  <c r="H112" i="1"/>
  <c r="G112" i="1"/>
  <c r="K104" i="1"/>
  <c r="I104" i="1"/>
  <c r="J104" i="1"/>
  <c r="H104" i="1"/>
  <c r="G104" i="1"/>
  <c r="K96" i="1"/>
  <c r="I96" i="1"/>
  <c r="J96" i="1"/>
  <c r="H96" i="1"/>
  <c r="G96" i="1"/>
  <c r="K88" i="1"/>
  <c r="I88" i="1"/>
  <c r="J88" i="1"/>
  <c r="H88" i="1"/>
  <c r="G88" i="1"/>
  <c r="K80" i="1"/>
  <c r="I80" i="1"/>
  <c r="J80" i="1"/>
  <c r="H80" i="1"/>
  <c r="G80" i="1"/>
  <c r="K72" i="1"/>
  <c r="I72" i="1"/>
  <c r="J72" i="1"/>
  <c r="H72" i="1"/>
  <c r="G72" i="1"/>
  <c r="K64" i="1"/>
  <c r="I64" i="1"/>
  <c r="J64" i="1"/>
  <c r="H64" i="1"/>
  <c r="G64" i="1"/>
  <c r="K56" i="1"/>
  <c r="I56" i="1"/>
  <c r="J56" i="1"/>
  <c r="H56" i="1"/>
  <c r="G56" i="1"/>
  <c r="K48" i="1"/>
  <c r="I48" i="1"/>
  <c r="J48" i="1"/>
  <c r="H48" i="1"/>
  <c r="G48" i="1"/>
  <c r="K44" i="1"/>
  <c r="I44" i="1"/>
  <c r="J44" i="1"/>
  <c r="H44" i="1"/>
  <c r="G44" i="1"/>
  <c r="K36" i="1"/>
  <c r="I36" i="1"/>
  <c r="J36" i="1"/>
  <c r="G36" i="1"/>
  <c r="H36" i="1"/>
  <c r="K28" i="1"/>
  <c r="I28" i="1"/>
  <c r="J28" i="1"/>
  <c r="H28" i="1"/>
  <c r="G28" i="1"/>
  <c r="K20" i="1"/>
  <c r="I20" i="1"/>
  <c r="J20" i="1"/>
  <c r="G20" i="1"/>
  <c r="H20" i="1"/>
  <c r="K12" i="1"/>
  <c r="I12" i="1"/>
  <c r="J12" i="1"/>
  <c r="H12" i="1"/>
  <c r="G12" i="1"/>
  <c r="K8" i="1"/>
  <c r="J8" i="1"/>
  <c r="I8" i="1"/>
  <c r="H8" i="1"/>
  <c r="G8" i="1"/>
  <c r="M499" i="1"/>
  <c r="L499" i="1"/>
  <c r="K496" i="1"/>
  <c r="J496" i="1"/>
  <c r="I496" i="1"/>
  <c r="H496" i="1"/>
  <c r="G496" i="1"/>
  <c r="K484" i="1"/>
  <c r="J484" i="1"/>
  <c r="I484" i="1"/>
  <c r="H484" i="1"/>
  <c r="G484" i="1"/>
  <c r="K472" i="1"/>
  <c r="J472" i="1"/>
  <c r="I472" i="1"/>
  <c r="H472" i="1"/>
  <c r="G472" i="1"/>
  <c r="K464" i="1"/>
  <c r="J464" i="1"/>
  <c r="I464" i="1"/>
  <c r="H464" i="1"/>
  <c r="G464" i="1"/>
  <c r="K456" i="1"/>
  <c r="J456" i="1"/>
  <c r="I456" i="1"/>
  <c r="H456" i="1"/>
  <c r="G456" i="1"/>
  <c r="K448" i="1"/>
  <c r="J448" i="1"/>
  <c r="I448" i="1"/>
  <c r="H448" i="1"/>
  <c r="G448" i="1"/>
  <c r="K444" i="1"/>
  <c r="J444" i="1"/>
  <c r="I444" i="1"/>
  <c r="H444" i="1"/>
  <c r="G444" i="1"/>
  <c r="K436" i="1"/>
  <c r="J436" i="1"/>
  <c r="I436" i="1"/>
  <c r="G436" i="1"/>
  <c r="H436" i="1"/>
  <c r="K428" i="1"/>
  <c r="J428" i="1"/>
  <c r="H428" i="1"/>
  <c r="I428" i="1"/>
  <c r="G428" i="1"/>
  <c r="K420" i="1"/>
  <c r="J420" i="1"/>
  <c r="I420" i="1"/>
  <c r="G420" i="1"/>
  <c r="H420" i="1"/>
  <c r="K412" i="1"/>
  <c r="J412" i="1"/>
  <c r="H412" i="1"/>
  <c r="I412" i="1"/>
  <c r="G412" i="1"/>
  <c r="K400" i="1"/>
  <c r="J400" i="1"/>
  <c r="I400" i="1"/>
  <c r="H400" i="1"/>
  <c r="G400" i="1"/>
  <c r="K392" i="1"/>
  <c r="J392" i="1"/>
  <c r="I392" i="1"/>
  <c r="H392" i="1"/>
  <c r="G392" i="1"/>
  <c r="K384" i="1"/>
  <c r="J384" i="1"/>
  <c r="I384" i="1"/>
  <c r="H384" i="1"/>
  <c r="G384" i="1"/>
  <c r="K376" i="1"/>
  <c r="J376" i="1"/>
  <c r="I376" i="1"/>
  <c r="H376" i="1"/>
  <c r="G376" i="1"/>
  <c r="K364" i="1"/>
  <c r="J364" i="1"/>
  <c r="H364" i="1"/>
  <c r="I364" i="1"/>
  <c r="G364" i="1"/>
  <c r="K356" i="1"/>
  <c r="J356" i="1"/>
  <c r="I356" i="1"/>
  <c r="G356" i="1"/>
  <c r="H356" i="1"/>
  <c r="K348" i="1"/>
  <c r="J348" i="1"/>
  <c r="H348" i="1"/>
  <c r="I348" i="1"/>
  <c r="G348" i="1"/>
  <c r="K340" i="1"/>
  <c r="J340" i="1"/>
  <c r="I340" i="1"/>
  <c r="G340" i="1"/>
  <c r="H340" i="1"/>
  <c r="K332" i="1"/>
  <c r="J332" i="1"/>
  <c r="I332" i="1"/>
  <c r="H332" i="1"/>
  <c r="G332" i="1"/>
  <c r="K320" i="1"/>
  <c r="J320" i="1"/>
  <c r="I320" i="1"/>
  <c r="H320" i="1"/>
  <c r="G320" i="1"/>
  <c r="J312" i="1"/>
  <c r="K312" i="1"/>
  <c r="I312" i="1"/>
  <c r="H312" i="1"/>
  <c r="G312" i="1"/>
  <c r="K304" i="1"/>
  <c r="J304" i="1"/>
  <c r="I304" i="1"/>
  <c r="H304" i="1"/>
  <c r="G304" i="1"/>
  <c r="J296" i="1"/>
  <c r="K296" i="1"/>
  <c r="I296" i="1"/>
  <c r="H296" i="1"/>
  <c r="G296" i="1"/>
  <c r="K284" i="1"/>
  <c r="J284" i="1"/>
  <c r="G284" i="1"/>
  <c r="H284" i="1"/>
  <c r="I284" i="1"/>
  <c r="K280" i="1"/>
  <c r="J280" i="1"/>
  <c r="I280" i="1"/>
  <c r="H280" i="1"/>
  <c r="G280" i="1"/>
  <c r="K272" i="1"/>
  <c r="I272" i="1"/>
  <c r="J272" i="1"/>
  <c r="H272" i="1"/>
  <c r="G272" i="1"/>
  <c r="K268" i="1"/>
  <c r="I268" i="1"/>
  <c r="J268" i="1"/>
  <c r="H268" i="1"/>
  <c r="G268" i="1"/>
  <c r="K260" i="1"/>
  <c r="I260" i="1"/>
  <c r="J260" i="1"/>
  <c r="G260" i="1"/>
  <c r="H260" i="1"/>
  <c r="K252" i="1"/>
  <c r="I252" i="1"/>
  <c r="J252" i="1"/>
  <c r="H252" i="1"/>
  <c r="G252" i="1"/>
  <c r="K244" i="1"/>
  <c r="I244" i="1"/>
  <c r="J244" i="1"/>
  <c r="G244" i="1"/>
  <c r="H244" i="1"/>
  <c r="I240" i="1"/>
  <c r="K240" i="1"/>
  <c r="J240" i="1"/>
  <c r="H240" i="1"/>
  <c r="G240" i="1"/>
  <c r="K232" i="1"/>
  <c r="I232" i="1"/>
  <c r="J232" i="1"/>
  <c r="H232" i="1"/>
  <c r="G232" i="1"/>
  <c r="K228" i="1"/>
  <c r="I228" i="1"/>
  <c r="J228" i="1"/>
  <c r="G228" i="1"/>
  <c r="H228" i="1"/>
  <c r="K220" i="1"/>
  <c r="I220" i="1"/>
  <c r="J220" i="1"/>
  <c r="H220" i="1"/>
  <c r="G220" i="1"/>
  <c r="K212" i="1"/>
  <c r="I212" i="1"/>
  <c r="J212" i="1"/>
  <c r="G212" i="1"/>
  <c r="H212" i="1"/>
  <c r="K204" i="1"/>
  <c r="I204" i="1"/>
  <c r="J204" i="1"/>
  <c r="H204" i="1"/>
  <c r="G204" i="1"/>
  <c r="K192" i="1"/>
  <c r="I192" i="1"/>
  <c r="J192" i="1"/>
  <c r="H192" i="1"/>
  <c r="G192" i="1"/>
  <c r="K188" i="1"/>
  <c r="I188" i="1"/>
  <c r="J188" i="1"/>
  <c r="H188" i="1"/>
  <c r="G188" i="1"/>
  <c r="K180" i="1"/>
  <c r="I180" i="1"/>
  <c r="J180" i="1"/>
  <c r="G180" i="1"/>
  <c r="H180" i="1"/>
  <c r="K172" i="1"/>
  <c r="I172" i="1"/>
  <c r="J172" i="1"/>
  <c r="G172" i="1"/>
  <c r="H172" i="1"/>
  <c r="K164" i="1"/>
  <c r="I164" i="1"/>
  <c r="J164" i="1"/>
  <c r="G164" i="1"/>
  <c r="H164" i="1"/>
  <c r="K156" i="1"/>
  <c r="I156" i="1"/>
  <c r="J156" i="1"/>
  <c r="H156" i="1"/>
  <c r="G156" i="1"/>
  <c r="K148" i="1"/>
  <c r="I148" i="1"/>
  <c r="J148" i="1"/>
  <c r="G148" i="1"/>
  <c r="H148" i="1"/>
  <c r="K136" i="1"/>
  <c r="I136" i="1"/>
  <c r="J136" i="1"/>
  <c r="H136" i="1"/>
  <c r="G136" i="1"/>
  <c r="K128" i="1"/>
  <c r="I128" i="1"/>
  <c r="J128" i="1"/>
  <c r="H128" i="1"/>
  <c r="G128" i="1"/>
  <c r="K120" i="1"/>
  <c r="I120" i="1"/>
  <c r="J120" i="1"/>
  <c r="H120" i="1"/>
  <c r="G120" i="1"/>
  <c r="K108" i="1"/>
  <c r="I108" i="1"/>
  <c r="J108" i="1"/>
  <c r="H108" i="1"/>
  <c r="G108" i="1"/>
  <c r="K100" i="1"/>
  <c r="I100" i="1"/>
  <c r="J100" i="1"/>
  <c r="G100" i="1"/>
  <c r="H100" i="1"/>
  <c r="K92" i="1"/>
  <c r="I92" i="1"/>
  <c r="J92" i="1"/>
  <c r="H92" i="1"/>
  <c r="G92" i="1"/>
  <c r="K84" i="1"/>
  <c r="I84" i="1"/>
  <c r="J84" i="1"/>
  <c r="G84" i="1"/>
  <c r="H84" i="1"/>
  <c r="K76" i="1"/>
  <c r="I76" i="1"/>
  <c r="J76" i="1"/>
  <c r="H76" i="1"/>
  <c r="G76" i="1"/>
  <c r="K68" i="1"/>
  <c r="I68" i="1"/>
  <c r="J68" i="1"/>
  <c r="G68" i="1"/>
  <c r="H68" i="1"/>
  <c r="K60" i="1"/>
  <c r="I60" i="1"/>
  <c r="J60" i="1"/>
  <c r="H60" i="1"/>
  <c r="G60" i="1"/>
  <c r="K52" i="1"/>
  <c r="I52" i="1"/>
  <c r="J52" i="1"/>
  <c r="G52" i="1"/>
  <c r="H52" i="1"/>
  <c r="K40" i="1"/>
  <c r="I40" i="1"/>
  <c r="J40" i="1"/>
  <c r="H40" i="1"/>
  <c r="G40" i="1"/>
  <c r="K32" i="1"/>
  <c r="I32" i="1"/>
  <c r="J32" i="1"/>
  <c r="H32" i="1"/>
  <c r="G32" i="1"/>
  <c r="K24" i="1"/>
  <c r="J24" i="1"/>
  <c r="I24" i="1"/>
  <c r="H24" i="1"/>
  <c r="G24" i="1"/>
  <c r="K16" i="1"/>
  <c r="J16" i="1"/>
  <c r="I16" i="1"/>
  <c r="H16" i="1"/>
  <c r="G16" i="1"/>
  <c r="K4" i="1"/>
  <c r="I4" i="1"/>
  <c r="G4" i="1"/>
  <c r="J4" i="1"/>
  <c r="H4" i="1"/>
  <c r="K2" i="1"/>
  <c r="I2" i="1"/>
  <c r="J2" i="1"/>
  <c r="H2" i="1"/>
  <c r="G2" i="1"/>
  <c r="K491" i="1"/>
  <c r="J491" i="1"/>
  <c r="I491" i="1"/>
  <c r="G491" i="1"/>
  <c r="H491" i="1"/>
  <c r="K483" i="1"/>
  <c r="J483" i="1"/>
  <c r="I483" i="1"/>
  <c r="G483" i="1"/>
  <c r="H483" i="1"/>
  <c r="J479" i="1"/>
  <c r="K479" i="1"/>
  <c r="I479" i="1"/>
  <c r="H479" i="1"/>
  <c r="G479" i="1"/>
  <c r="J471" i="1"/>
  <c r="H471" i="1"/>
  <c r="K471" i="1"/>
  <c r="G471" i="1"/>
  <c r="I471" i="1"/>
  <c r="J463" i="1"/>
  <c r="K463" i="1"/>
  <c r="H463" i="1"/>
  <c r="I463" i="1"/>
  <c r="G463" i="1"/>
  <c r="J455" i="1"/>
  <c r="I455" i="1"/>
  <c r="K455" i="1"/>
  <c r="H455" i="1"/>
  <c r="G455" i="1"/>
  <c r="K451" i="1"/>
  <c r="J451" i="1"/>
  <c r="I451" i="1"/>
  <c r="H451" i="1"/>
  <c r="G451" i="1"/>
  <c r="K443" i="1"/>
  <c r="J443" i="1"/>
  <c r="I443" i="1"/>
  <c r="H443" i="1"/>
  <c r="G443" i="1"/>
  <c r="K435" i="1"/>
  <c r="J435" i="1"/>
  <c r="I435" i="1"/>
  <c r="H435" i="1"/>
  <c r="G435" i="1"/>
  <c r="K427" i="1"/>
  <c r="J427" i="1"/>
  <c r="I427" i="1"/>
  <c r="H427" i="1"/>
  <c r="G427" i="1"/>
  <c r="J423" i="1"/>
  <c r="I423" i="1"/>
  <c r="K423" i="1"/>
  <c r="H423" i="1"/>
  <c r="G423" i="1"/>
  <c r="J415" i="1"/>
  <c r="I415" i="1"/>
  <c r="H415" i="1"/>
  <c r="K415" i="1"/>
  <c r="G415" i="1"/>
  <c r="K407" i="1"/>
  <c r="J407" i="1"/>
  <c r="I407" i="1"/>
  <c r="H407" i="1"/>
  <c r="G407" i="1"/>
  <c r="K399" i="1"/>
  <c r="J399" i="1"/>
  <c r="I399" i="1"/>
  <c r="H399" i="1"/>
  <c r="G399" i="1"/>
  <c r="K391" i="1"/>
  <c r="J391" i="1"/>
  <c r="I391" i="1"/>
  <c r="H391" i="1"/>
  <c r="G391" i="1"/>
  <c r="K383" i="1"/>
  <c r="J383" i="1"/>
  <c r="I383" i="1"/>
  <c r="H383" i="1"/>
  <c r="G383" i="1"/>
  <c r="K379" i="1"/>
  <c r="J379" i="1"/>
  <c r="I379" i="1"/>
  <c r="H379" i="1"/>
  <c r="G379" i="1"/>
  <c r="K371" i="1"/>
  <c r="J371" i="1"/>
  <c r="I371" i="1"/>
  <c r="H371" i="1"/>
  <c r="G371" i="1"/>
  <c r="K367" i="1"/>
  <c r="J367" i="1"/>
  <c r="I367" i="1"/>
  <c r="H367" i="1"/>
  <c r="G367" i="1"/>
  <c r="K359" i="1"/>
  <c r="J359" i="1"/>
  <c r="I359" i="1"/>
  <c r="H359" i="1"/>
  <c r="G359" i="1"/>
  <c r="K351" i="1"/>
  <c r="J351" i="1"/>
  <c r="I351" i="1"/>
  <c r="H351" i="1"/>
  <c r="G351" i="1"/>
  <c r="K343" i="1"/>
  <c r="J343" i="1"/>
  <c r="I343" i="1"/>
  <c r="H343" i="1"/>
  <c r="G343" i="1"/>
  <c r="K335" i="1"/>
  <c r="J335" i="1"/>
  <c r="I335" i="1"/>
  <c r="H335" i="1"/>
  <c r="G335" i="1"/>
  <c r="K327" i="1"/>
  <c r="J327" i="1"/>
  <c r="I327" i="1"/>
  <c r="H327" i="1"/>
  <c r="G327" i="1"/>
  <c r="K319" i="1"/>
  <c r="J319" i="1"/>
  <c r="I319" i="1"/>
  <c r="H319" i="1"/>
  <c r="G319" i="1"/>
  <c r="J307" i="1"/>
  <c r="K307" i="1"/>
  <c r="I307" i="1"/>
  <c r="H307" i="1"/>
  <c r="G307" i="1"/>
  <c r="K299" i="1"/>
  <c r="J299" i="1"/>
  <c r="I299" i="1"/>
  <c r="H299" i="1"/>
  <c r="G299" i="1"/>
  <c r="K295" i="1"/>
  <c r="J295" i="1"/>
  <c r="I295" i="1"/>
  <c r="H295" i="1"/>
  <c r="G295" i="1"/>
  <c r="K287" i="1"/>
  <c r="J287" i="1"/>
  <c r="I287" i="1"/>
  <c r="G287" i="1"/>
  <c r="H287" i="1"/>
  <c r="K279" i="1"/>
  <c r="J279" i="1"/>
  <c r="I279" i="1"/>
  <c r="G279" i="1"/>
  <c r="H279" i="1"/>
  <c r="K271" i="1"/>
  <c r="J271" i="1"/>
  <c r="I271" i="1"/>
  <c r="G271" i="1"/>
  <c r="H271" i="1"/>
  <c r="K263" i="1"/>
  <c r="J263" i="1"/>
  <c r="I263" i="1"/>
  <c r="G263" i="1"/>
  <c r="H263" i="1"/>
  <c r="K255" i="1"/>
  <c r="J255" i="1"/>
  <c r="I255" i="1"/>
  <c r="G255" i="1"/>
  <c r="H255" i="1"/>
  <c r="K247" i="1"/>
  <c r="J247" i="1"/>
  <c r="I247" i="1"/>
  <c r="G247" i="1"/>
  <c r="H247" i="1"/>
  <c r="K243" i="1"/>
  <c r="J243" i="1"/>
  <c r="I243" i="1"/>
  <c r="G243" i="1"/>
  <c r="H243" i="1"/>
  <c r="K235" i="1"/>
  <c r="J235" i="1"/>
  <c r="I235" i="1"/>
  <c r="G235" i="1"/>
  <c r="H235" i="1"/>
  <c r="K227" i="1"/>
  <c r="J227" i="1"/>
  <c r="I227" i="1"/>
  <c r="G227" i="1"/>
  <c r="H227" i="1"/>
  <c r="J219" i="1"/>
  <c r="K219" i="1"/>
  <c r="I219" i="1"/>
  <c r="G219" i="1"/>
  <c r="H219" i="1"/>
  <c r="K211" i="1"/>
  <c r="J211" i="1"/>
  <c r="I211" i="1"/>
  <c r="G211" i="1"/>
  <c r="H211" i="1"/>
  <c r="K203" i="1"/>
  <c r="J203" i="1"/>
  <c r="I203" i="1"/>
  <c r="G203" i="1"/>
  <c r="H203" i="1"/>
  <c r="K195" i="1"/>
  <c r="J195" i="1"/>
  <c r="I195" i="1"/>
  <c r="G195" i="1"/>
  <c r="H195" i="1"/>
  <c r="K187" i="1"/>
  <c r="J187" i="1"/>
  <c r="I187" i="1"/>
  <c r="G187" i="1"/>
  <c r="H187" i="1"/>
  <c r="K179" i="1"/>
  <c r="J179" i="1"/>
  <c r="I179" i="1"/>
  <c r="G179" i="1"/>
  <c r="H179" i="1"/>
  <c r="K171" i="1"/>
  <c r="J171" i="1"/>
  <c r="I171" i="1"/>
  <c r="G171" i="1"/>
  <c r="H171" i="1"/>
  <c r="K167" i="1"/>
  <c r="J167" i="1"/>
  <c r="I167" i="1"/>
  <c r="G167" i="1"/>
  <c r="H167" i="1"/>
  <c r="K159" i="1"/>
  <c r="J159" i="1"/>
  <c r="I159" i="1"/>
  <c r="G159" i="1"/>
  <c r="H159" i="1"/>
  <c r="K155" i="1"/>
  <c r="J155" i="1"/>
  <c r="I155" i="1"/>
  <c r="G155" i="1"/>
  <c r="H155" i="1"/>
  <c r="K151" i="1"/>
  <c r="J151" i="1"/>
  <c r="I151" i="1"/>
  <c r="G151" i="1"/>
  <c r="H151" i="1"/>
  <c r="K147" i="1"/>
  <c r="J147" i="1"/>
  <c r="I147" i="1"/>
  <c r="G147" i="1"/>
  <c r="H147" i="1"/>
  <c r="K143" i="1"/>
  <c r="J143" i="1"/>
  <c r="I143" i="1"/>
  <c r="G143" i="1"/>
  <c r="H143" i="1"/>
  <c r="K135" i="1"/>
  <c r="J135" i="1"/>
  <c r="I135" i="1"/>
  <c r="G135" i="1"/>
  <c r="H135" i="1"/>
  <c r="K131" i="1"/>
  <c r="J131" i="1"/>
  <c r="I131" i="1"/>
  <c r="G131" i="1"/>
  <c r="H131" i="1"/>
  <c r="K127" i="1"/>
  <c r="J127" i="1"/>
  <c r="I127" i="1"/>
  <c r="G127" i="1"/>
  <c r="H127" i="1"/>
  <c r="K123" i="1"/>
  <c r="J123" i="1"/>
  <c r="I123" i="1"/>
  <c r="G123" i="1"/>
  <c r="H123" i="1"/>
  <c r="K119" i="1"/>
  <c r="J119" i="1"/>
  <c r="I119" i="1"/>
  <c r="G119" i="1"/>
  <c r="H119" i="1"/>
  <c r="K115" i="1"/>
  <c r="J115" i="1"/>
  <c r="I115" i="1"/>
  <c r="G115" i="1"/>
  <c r="H115" i="1"/>
  <c r="K111" i="1"/>
  <c r="J111" i="1"/>
  <c r="I111" i="1"/>
  <c r="G111" i="1"/>
  <c r="H111" i="1"/>
  <c r="K107" i="1"/>
  <c r="J107" i="1"/>
  <c r="I107" i="1"/>
  <c r="G107" i="1"/>
  <c r="H107" i="1"/>
  <c r="K103" i="1"/>
  <c r="J103" i="1"/>
  <c r="I103" i="1"/>
  <c r="G103" i="1"/>
  <c r="H103" i="1"/>
  <c r="K99" i="1"/>
  <c r="J99" i="1"/>
  <c r="I99" i="1"/>
  <c r="G99" i="1"/>
  <c r="H99" i="1"/>
  <c r="K95" i="1"/>
  <c r="J95" i="1"/>
  <c r="I95" i="1"/>
  <c r="G95" i="1"/>
  <c r="H95" i="1"/>
  <c r="K91" i="1"/>
  <c r="J91" i="1"/>
  <c r="I91" i="1"/>
  <c r="G91" i="1"/>
  <c r="H91" i="1"/>
  <c r="K87" i="1"/>
  <c r="J87" i="1"/>
  <c r="I87" i="1"/>
  <c r="G87" i="1"/>
  <c r="H87" i="1"/>
  <c r="K83" i="1"/>
  <c r="J83" i="1"/>
  <c r="I83" i="1"/>
  <c r="G83" i="1"/>
  <c r="H83" i="1"/>
  <c r="K79" i="1"/>
  <c r="J79" i="1"/>
  <c r="I79" i="1"/>
  <c r="G79" i="1"/>
  <c r="H79" i="1"/>
  <c r="K75" i="1"/>
  <c r="J75" i="1"/>
  <c r="I75" i="1"/>
  <c r="G75" i="1"/>
  <c r="H75" i="1"/>
  <c r="K71" i="1"/>
  <c r="J71" i="1"/>
  <c r="I71" i="1"/>
  <c r="G71" i="1"/>
  <c r="H71" i="1"/>
  <c r="K67" i="1"/>
  <c r="J67" i="1"/>
  <c r="I67" i="1"/>
  <c r="G67" i="1"/>
  <c r="H67" i="1"/>
  <c r="K63" i="1"/>
  <c r="J63" i="1"/>
  <c r="I63" i="1"/>
  <c r="G63" i="1"/>
  <c r="H63" i="1"/>
  <c r="K59" i="1"/>
  <c r="J59" i="1"/>
  <c r="I59" i="1"/>
  <c r="G59" i="1"/>
  <c r="H59" i="1"/>
  <c r="K55" i="1"/>
  <c r="J55" i="1"/>
  <c r="I55" i="1"/>
  <c r="G55" i="1"/>
  <c r="H55" i="1"/>
  <c r="K51" i="1"/>
  <c r="J51" i="1"/>
  <c r="I51" i="1"/>
  <c r="G51" i="1"/>
  <c r="H51" i="1"/>
  <c r="K47" i="1"/>
  <c r="J47" i="1"/>
  <c r="I47" i="1"/>
  <c r="G47" i="1"/>
  <c r="H47" i="1"/>
  <c r="K43" i="1"/>
  <c r="J43" i="1"/>
  <c r="I43" i="1"/>
  <c r="G43" i="1"/>
  <c r="H43" i="1"/>
  <c r="K39" i="1"/>
  <c r="J39" i="1"/>
  <c r="I39" i="1"/>
  <c r="G39" i="1"/>
  <c r="H39" i="1"/>
  <c r="K35" i="1"/>
  <c r="J35" i="1"/>
  <c r="I35" i="1"/>
  <c r="G35" i="1"/>
  <c r="H35" i="1"/>
  <c r="K31" i="1"/>
  <c r="J31" i="1"/>
  <c r="I31" i="1"/>
  <c r="G31" i="1"/>
  <c r="H31" i="1"/>
  <c r="K27" i="1"/>
  <c r="J27" i="1"/>
  <c r="I27" i="1"/>
  <c r="G27" i="1"/>
  <c r="H27" i="1"/>
  <c r="K23" i="1"/>
  <c r="J23" i="1"/>
  <c r="I23" i="1"/>
  <c r="G23" i="1"/>
  <c r="H23" i="1"/>
  <c r="K19" i="1"/>
  <c r="J19" i="1"/>
  <c r="I19" i="1"/>
  <c r="G19" i="1"/>
  <c r="H19" i="1"/>
  <c r="K15" i="1"/>
  <c r="J15" i="1"/>
  <c r="I15" i="1"/>
  <c r="G15" i="1"/>
  <c r="H15" i="1"/>
  <c r="K11" i="1"/>
  <c r="J11" i="1"/>
  <c r="I11" i="1"/>
  <c r="G11" i="1"/>
  <c r="H11" i="1"/>
  <c r="K7" i="1"/>
  <c r="J7" i="1"/>
  <c r="I7" i="1"/>
  <c r="G7" i="1"/>
  <c r="H7" i="1"/>
  <c r="K3" i="1"/>
  <c r="J3" i="1"/>
  <c r="I3" i="1"/>
  <c r="G3" i="1"/>
  <c r="H3" i="1"/>
  <c r="K498" i="1"/>
  <c r="J498" i="1"/>
  <c r="H498" i="1"/>
  <c r="I498" i="1"/>
  <c r="G498" i="1"/>
  <c r="K494" i="1"/>
  <c r="J494" i="1"/>
  <c r="H494" i="1"/>
  <c r="I494" i="1"/>
  <c r="G494" i="1"/>
  <c r="K490" i="1"/>
  <c r="J490" i="1"/>
  <c r="H490" i="1"/>
  <c r="I490" i="1"/>
  <c r="G490" i="1"/>
  <c r="K486" i="1"/>
  <c r="J486" i="1"/>
  <c r="H486" i="1"/>
  <c r="I486" i="1"/>
  <c r="G486" i="1"/>
  <c r="K482" i="1"/>
  <c r="J482" i="1"/>
  <c r="H482" i="1"/>
  <c r="I482" i="1"/>
  <c r="G482" i="1"/>
  <c r="K478" i="1"/>
  <c r="J478" i="1"/>
  <c r="H478" i="1"/>
  <c r="I478" i="1"/>
  <c r="G478" i="1"/>
  <c r="K474" i="1"/>
  <c r="J474" i="1"/>
  <c r="H474" i="1"/>
  <c r="I474" i="1"/>
  <c r="G474" i="1"/>
  <c r="K470" i="1"/>
  <c r="J470" i="1"/>
  <c r="H470" i="1"/>
  <c r="I470" i="1"/>
  <c r="G470" i="1"/>
  <c r="K466" i="1"/>
  <c r="J466" i="1"/>
  <c r="H466" i="1"/>
  <c r="I466" i="1"/>
  <c r="G466" i="1"/>
  <c r="K462" i="1"/>
  <c r="J462" i="1"/>
  <c r="H462" i="1"/>
  <c r="I462" i="1"/>
  <c r="G462" i="1"/>
  <c r="K458" i="1"/>
  <c r="J458" i="1"/>
  <c r="H458" i="1"/>
  <c r="I458" i="1"/>
  <c r="G458" i="1"/>
  <c r="K454" i="1"/>
  <c r="J454" i="1"/>
  <c r="H454" i="1"/>
  <c r="G454" i="1"/>
  <c r="I454" i="1"/>
  <c r="K450" i="1"/>
  <c r="J450" i="1"/>
  <c r="H450" i="1"/>
  <c r="I450" i="1"/>
  <c r="G450" i="1"/>
  <c r="K446" i="1"/>
  <c r="J446" i="1"/>
  <c r="I446" i="1"/>
  <c r="H446" i="1"/>
  <c r="G446" i="1"/>
  <c r="K442" i="1"/>
  <c r="J442" i="1"/>
  <c r="H442" i="1"/>
  <c r="I442" i="1"/>
  <c r="G442" i="1"/>
  <c r="K438" i="1"/>
  <c r="J438" i="1"/>
  <c r="H438" i="1"/>
  <c r="I438" i="1"/>
  <c r="G438" i="1"/>
  <c r="K434" i="1"/>
  <c r="J434" i="1"/>
  <c r="H434" i="1"/>
  <c r="I434" i="1"/>
  <c r="G434" i="1"/>
  <c r="K430" i="1"/>
  <c r="J430" i="1"/>
  <c r="I430" i="1"/>
  <c r="H430" i="1"/>
  <c r="G430" i="1"/>
  <c r="K426" i="1"/>
  <c r="J426" i="1"/>
  <c r="H426" i="1"/>
  <c r="I426" i="1"/>
  <c r="G426" i="1"/>
  <c r="K422" i="1"/>
  <c r="J422" i="1"/>
  <c r="H422" i="1"/>
  <c r="G422" i="1"/>
  <c r="I422" i="1"/>
  <c r="K418" i="1"/>
  <c r="J418" i="1"/>
  <c r="H418" i="1"/>
  <c r="I418" i="1"/>
  <c r="G418" i="1"/>
  <c r="K414" i="1"/>
  <c r="J414" i="1"/>
  <c r="I414" i="1"/>
  <c r="H414" i="1"/>
  <c r="G414" i="1"/>
  <c r="K410" i="1"/>
  <c r="J410" i="1"/>
  <c r="H410" i="1"/>
  <c r="I410" i="1"/>
  <c r="G410" i="1"/>
  <c r="K406" i="1"/>
  <c r="J406" i="1"/>
  <c r="H406" i="1"/>
  <c r="G406" i="1"/>
  <c r="I406" i="1"/>
  <c r="K402" i="1"/>
  <c r="J402" i="1"/>
  <c r="H402" i="1"/>
  <c r="I402" i="1"/>
  <c r="G402" i="1"/>
  <c r="K398" i="1"/>
  <c r="J398" i="1"/>
  <c r="I398" i="1"/>
  <c r="H398" i="1"/>
  <c r="G398" i="1"/>
  <c r="K394" i="1"/>
  <c r="J394" i="1"/>
  <c r="H394" i="1"/>
  <c r="I394" i="1"/>
  <c r="G394" i="1"/>
  <c r="K390" i="1"/>
  <c r="J390" i="1"/>
  <c r="H390" i="1"/>
  <c r="G390" i="1"/>
  <c r="I390" i="1"/>
  <c r="K386" i="1"/>
  <c r="J386" i="1"/>
  <c r="H386" i="1"/>
  <c r="I386" i="1"/>
  <c r="G386" i="1"/>
  <c r="K382" i="1"/>
  <c r="J382" i="1"/>
  <c r="I382" i="1"/>
  <c r="H382" i="1"/>
  <c r="G382" i="1"/>
  <c r="K378" i="1"/>
  <c r="J378" i="1"/>
  <c r="H378" i="1"/>
  <c r="I378" i="1"/>
  <c r="G378" i="1"/>
  <c r="K374" i="1"/>
  <c r="J374" i="1"/>
  <c r="H374" i="1"/>
  <c r="G374" i="1"/>
  <c r="I374" i="1"/>
  <c r="K370" i="1"/>
  <c r="J370" i="1"/>
  <c r="H370" i="1"/>
  <c r="I370" i="1"/>
  <c r="G370" i="1"/>
  <c r="K366" i="1"/>
  <c r="J366" i="1"/>
  <c r="I366" i="1"/>
  <c r="H366" i="1"/>
  <c r="G366" i="1"/>
  <c r="K362" i="1"/>
  <c r="J362" i="1"/>
  <c r="H362" i="1"/>
  <c r="I362" i="1"/>
  <c r="G362" i="1"/>
  <c r="K358" i="1"/>
  <c r="J358" i="1"/>
  <c r="H358" i="1"/>
  <c r="G358" i="1"/>
  <c r="I358" i="1"/>
  <c r="K354" i="1"/>
  <c r="J354" i="1"/>
  <c r="H354" i="1"/>
  <c r="I354" i="1"/>
  <c r="G354" i="1"/>
  <c r="K350" i="1"/>
  <c r="J350" i="1"/>
  <c r="I350" i="1"/>
  <c r="H350" i="1"/>
  <c r="G350" i="1"/>
  <c r="K346" i="1"/>
  <c r="J346" i="1"/>
  <c r="H346" i="1"/>
  <c r="I346" i="1"/>
  <c r="G346" i="1"/>
  <c r="K342" i="1"/>
  <c r="J342" i="1"/>
  <c r="H342" i="1"/>
  <c r="G342" i="1"/>
  <c r="I342" i="1"/>
  <c r="K338" i="1"/>
  <c r="J338" i="1"/>
  <c r="H338" i="1"/>
  <c r="I338" i="1"/>
  <c r="G338" i="1"/>
  <c r="J334" i="1"/>
  <c r="I334" i="1"/>
  <c r="H334" i="1"/>
  <c r="G334" i="1"/>
  <c r="K334" i="1"/>
  <c r="K330" i="1"/>
  <c r="J330" i="1"/>
  <c r="H330" i="1"/>
  <c r="I330" i="1"/>
  <c r="G330" i="1"/>
  <c r="K326" i="1"/>
  <c r="J326" i="1"/>
  <c r="H326" i="1"/>
  <c r="G326" i="1"/>
  <c r="I326" i="1"/>
  <c r="K322" i="1"/>
  <c r="J322" i="1"/>
  <c r="H322" i="1"/>
  <c r="I322" i="1"/>
  <c r="G322" i="1"/>
  <c r="K318" i="1"/>
  <c r="J318" i="1"/>
  <c r="I318" i="1"/>
  <c r="H318" i="1"/>
  <c r="G318" i="1"/>
  <c r="K314" i="1"/>
  <c r="J314" i="1"/>
  <c r="H314" i="1"/>
  <c r="I314" i="1"/>
  <c r="G314" i="1"/>
  <c r="K310" i="1"/>
  <c r="J310" i="1"/>
  <c r="H310" i="1"/>
  <c r="G310" i="1"/>
  <c r="I310" i="1"/>
  <c r="K306" i="1"/>
  <c r="J306" i="1"/>
  <c r="H306" i="1"/>
  <c r="I306" i="1"/>
  <c r="G306" i="1"/>
  <c r="K302" i="1"/>
  <c r="J302" i="1"/>
  <c r="I302" i="1"/>
  <c r="H302" i="1"/>
  <c r="G302" i="1"/>
  <c r="K298" i="1"/>
  <c r="J298" i="1"/>
  <c r="H298" i="1"/>
  <c r="I298" i="1"/>
  <c r="G298" i="1"/>
  <c r="K294" i="1"/>
  <c r="J294" i="1"/>
  <c r="H294" i="1"/>
  <c r="G294" i="1"/>
  <c r="I294" i="1"/>
  <c r="K290" i="1"/>
  <c r="J290" i="1"/>
  <c r="H290" i="1"/>
  <c r="I290" i="1"/>
  <c r="G290" i="1"/>
  <c r="K286" i="1"/>
  <c r="J286" i="1"/>
  <c r="I286" i="1"/>
  <c r="H286" i="1"/>
  <c r="G286" i="1"/>
  <c r="K282" i="1"/>
  <c r="J282" i="1"/>
  <c r="H282" i="1"/>
  <c r="I282" i="1"/>
  <c r="G282" i="1"/>
  <c r="K278" i="1"/>
  <c r="J278" i="1"/>
  <c r="H278" i="1"/>
  <c r="G278" i="1"/>
  <c r="I278" i="1"/>
  <c r="K274" i="1"/>
  <c r="J274" i="1"/>
  <c r="I274" i="1"/>
  <c r="H274" i="1"/>
  <c r="G274" i="1"/>
  <c r="K270" i="1"/>
  <c r="J270" i="1"/>
  <c r="H270" i="1"/>
  <c r="G270" i="1"/>
  <c r="I270" i="1"/>
  <c r="K266" i="1"/>
  <c r="J266" i="1"/>
  <c r="I266" i="1"/>
  <c r="H266" i="1"/>
  <c r="G266" i="1"/>
  <c r="K262" i="1"/>
  <c r="J262" i="1"/>
  <c r="H262" i="1"/>
  <c r="G262" i="1"/>
  <c r="I262" i="1"/>
  <c r="K258" i="1"/>
  <c r="J258" i="1"/>
  <c r="I258" i="1"/>
  <c r="H258" i="1"/>
  <c r="G258" i="1"/>
  <c r="K254" i="1"/>
  <c r="J254" i="1"/>
  <c r="H254" i="1"/>
  <c r="G254" i="1"/>
  <c r="I254" i="1"/>
  <c r="K250" i="1"/>
  <c r="J250" i="1"/>
  <c r="I250" i="1"/>
  <c r="H250" i="1"/>
  <c r="G250" i="1"/>
  <c r="K246" i="1"/>
  <c r="J246" i="1"/>
  <c r="H246" i="1"/>
  <c r="G246" i="1"/>
  <c r="I246" i="1"/>
  <c r="K242" i="1"/>
  <c r="J242" i="1"/>
  <c r="I242" i="1"/>
  <c r="H242" i="1"/>
  <c r="G242" i="1"/>
  <c r="K238" i="1"/>
  <c r="J238" i="1"/>
  <c r="H238" i="1"/>
  <c r="G238" i="1"/>
  <c r="I238" i="1"/>
  <c r="K234" i="1"/>
  <c r="J234" i="1"/>
  <c r="I234" i="1"/>
  <c r="H234" i="1"/>
  <c r="G234" i="1"/>
  <c r="K230" i="1"/>
  <c r="J230" i="1"/>
  <c r="H230" i="1"/>
  <c r="G230" i="1"/>
  <c r="I230" i="1"/>
  <c r="K226" i="1"/>
  <c r="J226" i="1"/>
  <c r="I226" i="1"/>
  <c r="H226" i="1"/>
  <c r="G226" i="1"/>
  <c r="K222" i="1"/>
  <c r="J222" i="1"/>
  <c r="H222" i="1"/>
  <c r="G222" i="1"/>
  <c r="I222" i="1"/>
  <c r="K218" i="1"/>
  <c r="J218" i="1"/>
  <c r="I218" i="1"/>
  <c r="H218" i="1"/>
  <c r="G218" i="1"/>
  <c r="K214" i="1"/>
  <c r="J214" i="1"/>
  <c r="H214" i="1"/>
  <c r="G214" i="1"/>
  <c r="I214" i="1"/>
  <c r="K210" i="1"/>
  <c r="J210" i="1"/>
  <c r="I210" i="1"/>
  <c r="H210" i="1"/>
  <c r="G210" i="1"/>
  <c r="K206" i="1"/>
  <c r="J206" i="1"/>
  <c r="H206" i="1"/>
  <c r="G206" i="1"/>
  <c r="I206" i="1"/>
  <c r="K202" i="1"/>
  <c r="J202" i="1"/>
  <c r="I202" i="1"/>
  <c r="H202" i="1"/>
  <c r="G202" i="1"/>
  <c r="K198" i="1"/>
  <c r="J198" i="1"/>
  <c r="H198" i="1"/>
  <c r="G198" i="1"/>
  <c r="I198" i="1"/>
  <c r="K194" i="1"/>
  <c r="J194" i="1"/>
  <c r="I194" i="1"/>
  <c r="H194" i="1"/>
  <c r="G194" i="1"/>
  <c r="K190" i="1"/>
  <c r="J190" i="1"/>
  <c r="H190" i="1"/>
  <c r="G190" i="1"/>
  <c r="I190" i="1"/>
  <c r="K186" i="1"/>
  <c r="J186" i="1"/>
  <c r="I186" i="1"/>
  <c r="H186" i="1"/>
  <c r="G186" i="1"/>
  <c r="K182" i="1"/>
  <c r="J182" i="1"/>
  <c r="H182" i="1"/>
  <c r="G182" i="1"/>
  <c r="I182" i="1"/>
  <c r="K178" i="1"/>
  <c r="J178" i="1"/>
  <c r="I178" i="1"/>
  <c r="H178" i="1"/>
  <c r="G178" i="1"/>
  <c r="K174" i="1"/>
  <c r="J174" i="1"/>
  <c r="H174" i="1"/>
  <c r="G174" i="1"/>
  <c r="I174" i="1"/>
  <c r="K170" i="1"/>
  <c r="J170" i="1"/>
  <c r="I170" i="1"/>
  <c r="H170" i="1"/>
  <c r="G170" i="1"/>
  <c r="K166" i="1"/>
  <c r="J166" i="1"/>
  <c r="H166" i="1"/>
  <c r="G166" i="1"/>
  <c r="I166" i="1"/>
  <c r="K162" i="1"/>
  <c r="J162" i="1"/>
  <c r="I162" i="1"/>
  <c r="H162" i="1"/>
  <c r="G162" i="1"/>
  <c r="K158" i="1"/>
  <c r="J158" i="1"/>
  <c r="H158" i="1"/>
  <c r="G158" i="1"/>
  <c r="I158" i="1"/>
  <c r="K154" i="1"/>
  <c r="J154" i="1"/>
  <c r="I154" i="1"/>
  <c r="H154" i="1"/>
  <c r="G154" i="1"/>
  <c r="K150" i="1"/>
  <c r="J150" i="1"/>
  <c r="H150" i="1"/>
  <c r="G150" i="1"/>
  <c r="I150" i="1"/>
  <c r="K146" i="1"/>
  <c r="J146" i="1"/>
  <c r="I146" i="1"/>
  <c r="H146" i="1"/>
  <c r="G146" i="1"/>
  <c r="K142" i="1"/>
  <c r="J142" i="1"/>
  <c r="H142" i="1"/>
  <c r="G142" i="1"/>
  <c r="I142" i="1"/>
  <c r="K138" i="1"/>
  <c r="J138" i="1"/>
  <c r="I138" i="1"/>
  <c r="H138" i="1"/>
  <c r="G138" i="1"/>
  <c r="K134" i="1"/>
  <c r="J134" i="1"/>
  <c r="H134" i="1"/>
  <c r="G134" i="1"/>
  <c r="I134" i="1"/>
  <c r="K130" i="1"/>
  <c r="J130" i="1"/>
  <c r="I130" i="1"/>
  <c r="H130" i="1"/>
  <c r="G130" i="1"/>
  <c r="K126" i="1"/>
  <c r="J126" i="1"/>
  <c r="H126" i="1"/>
  <c r="G126" i="1"/>
  <c r="I126" i="1"/>
  <c r="K122" i="1"/>
  <c r="J122" i="1"/>
  <c r="I122" i="1"/>
  <c r="H122" i="1"/>
  <c r="G122" i="1"/>
  <c r="K118" i="1"/>
  <c r="J118" i="1"/>
  <c r="H118" i="1"/>
  <c r="G118" i="1"/>
  <c r="I118" i="1"/>
  <c r="K114" i="1"/>
  <c r="J114" i="1"/>
  <c r="I114" i="1"/>
  <c r="H114" i="1"/>
  <c r="G114" i="1"/>
  <c r="K110" i="1"/>
  <c r="J110" i="1"/>
  <c r="H110" i="1"/>
  <c r="G110" i="1"/>
  <c r="I110" i="1"/>
  <c r="K106" i="1"/>
  <c r="J106" i="1"/>
  <c r="I106" i="1"/>
  <c r="H106" i="1"/>
  <c r="G106" i="1"/>
  <c r="K102" i="1"/>
  <c r="J102" i="1"/>
  <c r="H102" i="1"/>
  <c r="G102" i="1"/>
  <c r="I102" i="1"/>
  <c r="K98" i="1"/>
  <c r="J98" i="1"/>
  <c r="I98" i="1"/>
  <c r="H98" i="1"/>
  <c r="G98" i="1"/>
  <c r="K94" i="1"/>
  <c r="J94" i="1"/>
  <c r="H94" i="1"/>
  <c r="G94" i="1"/>
  <c r="I94" i="1"/>
  <c r="J90" i="1"/>
  <c r="H90" i="1"/>
  <c r="K90" i="1"/>
  <c r="I90" i="1"/>
  <c r="G90" i="1"/>
  <c r="K86" i="1"/>
  <c r="J86" i="1"/>
  <c r="I86" i="1"/>
  <c r="H86" i="1"/>
  <c r="G86" i="1"/>
  <c r="K82" i="1"/>
  <c r="J82" i="1"/>
  <c r="H82" i="1"/>
  <c r="I82" i="1"/>
  <c r="G82" i="1"/>
  <c r="K78" i="1"/>
  <c r="J78" i="1"/>
  <c r="H78" i="1"/>
  <c r="G78" i="1"/>
  <c r="I78" i="1"/>
  <c r="K74" i="1"/>
  <c r="J74" i="1"/>
  <c r="H74" i="1"/>
  <c r="I74" i="1"/>
  <c r="G74" i="1"/>
  <c r="K70" i="1"/>
  <c r="J70" i="1"/>
  <c r="I70" i="1"/>
  <c r="H70" i="1"/>
  <c r="G70" i="1"/>
  <c r="K66" i="1"/>
  <c r="J66" i="1"/>
  <c r="H66" i="1"/>
  <c r="I66" i="1"/>
  <c r="G66" i="1"/>
  <c r="K62" i="1"/>
  <c r="J62" i="1"/>
  <c r="H62" i="1"/>
  <c r="G62" i="1"/>
  <c r="I62" i="1"/>
  <c r="K58" i="1"/>
  <c r="J58" i="1"/>
  <c r="H58" i="1"/>
  <c r="I58" i="1"/>
  <c r="G58" i="1"/>
  <c r="K54" i="1"/>
  <c r="J54" i="1"/>
  <c r="I54" i="1"/>
  <c r="H54" i="1"/>
  <c r="G54" i="1"/>
  <c r="K50" i="1"/>
  <c r="J50" i="1"/>
  <c r="H50" i="1"/>
  <c r="I50" i="1"/>
  <c r="G50" i="1"/>
  <c r="K46" i="1"/>
  <c r="J46" i="1"/>
  <c r="H46" i="1"/>
  <c r="G46" i="1"/>
  <c r="I46" i="1"/>
  <c r="K42" i="1"/>
  <c r="J42" i="1"/>
  <c r="H42" i="1"/>
  <c r="I42" i="1"/>
  <c r="G42" i="1"/>
  <c r="K38" i="1"/>
  <c r="J38" i="1"/>
  <c r="I38" i="1"/>
  <c r="H38" i="1"/>
  <c r="G38" i="1"/>
  <c r="K34" i="1"/>
  <c r="J34" i="1"/>
  <c r="H34" i="1"/>
  <c r="I34" i="1"/>
  <c r="G34" i="1"/>
  <c r="K30" i="1"/>
  <c r="J30" i="1"/>
  <c r="H30" i="1"/>
  <c r="G30" i="1"/>
  <c r="I30" i="1"/>
  <c r="K26" i="1"/>
  <c r="J26" i="1"/>
  <c r="H26" i="1"/>
  <c r="I26" i="1"/>
  <c r="G26" i="1"/>
  <c r="K22" i="1"/>
  <c r="J22" i="1"/>
  <c r="I22" i="1"/>
  <c r="H22" i="1"/>
  <c r="G22" i="1"/>
  <c r="K18" i="1"/>
  <c r="J18" i="1"/>
  <c r="H18" i="1"/>
  <c r="I18" i="1"/>
  <c r="G18" i="1"/>
  <c r="K14" i="1"/>
  <c r="J14" i="1"/>
  <c r="H14" i="1"/>
  <c r="G14" i="1"/>
  <c r="I14" i="1"/>
  <c r="K10" i="1"/>
  <c r="J10" i="1"/>
  <c r="H10" i="1"/>
  <c r="I10" i="1"/>
  <c r="G10" i="1"/>
  <c r="K6" i="1"/>
  <c r="J6" i="1"/>
  <c r="I6" i="1"/>
  <c r="H6" i="1"/>
  <c r="G6" i="1"/>
  <c r="O494" i="1"/>
  <c r="P494" i="1" s="1"/>
  <c r="E494" i="1"/>
  <c r="O490" i="1"/>
  <c r="P490" i="1" s="1"/>
  <c r="E490" i="1"/>
  <c r="O482" i="1"/>
  <c r="P482" i="1" s="1"/>
  <c r="E482" i="1"/>
  <c r="O474" i="1"/>
  <c r="P474" i="1" s="1"/>
  <c r="E474" i="1"/>
  <c r="O470" i="1"/>
  <c r="P470" i="1" s="1"/>
  <c r="E470" i="1"/>
  <c r="O462" i="1"/>
  <c r="P462" i="1" s="1"/>
  <c r="E462" i="1"/>
  <c r="O458" i="1"/>
  <c r="P458" i="1" s="1"/>
  <c r="E458" i="1"/>
  <c r="O454" i="1"/>
  <c r="P454" i="1" s="1"/>
  <c r="E454" i="1"/>
  <c r="O446" i="1"/>
  <c r="P446" i="1" s="1"/>
  <c r="E446" i="1"/>
  <c r="O442" i="1"/>
  <c r="P442" i="1" s="1"/>
  <c r="E442" i="1"/>
  <c r="O438" i="1"/>
  <c r="P438" i="1" s="1"/>
  <c r="E438" i="1"/>
  <c r="O430" i="1"/>
  <c r="P430" i="1" s="1"/>
  <c r="E430" i="1"/>
  <c r="O426" i="1"/>
  <c r="P426" i="1" s="1"/>
  <c r="E426" i="1"/>
  <c r="O422" i="1"/>
  <c r="P422" i="1" s="1"/>
  <c r="E422" i="1"/>
  <c r="O414" i="1"/>
  <c r="P414" i="1" s="1"/>
  <c r="E414" i="1"/>
  <c r="O410" i="1"/>
  <c r="P410" i="1" s="1"/>
  <c r="E410" i="1"/>
  <c r="O402" i="1"/>
  <c r="P402" i="1" s="1"/>
  <c r="E402" i="1"/>
  <c r="O398" i="1"/>
  <c r="P398" i="1" s="1"/>
  <c r="E398" i="1"/>
  <c r="O390" i="1"/>
  <c r="P390" i="1" s="1"/>
  <c r="E390" i="1"/>
  <c r="O386" i="1"/>
  <c r="P386" i="1" s="1"/>
  <c r="E386" i="1"/>
  <c r="O497" i="1"/>
  <c r="P497" i="1" s="1"/>
  <c r="E497" i="1"/>
  <c r="O489" i="1"/>
  <c r="P489" i="1" s="1"/>
  <c r="E489" i="1"/>
  <c r="O485" i="1"/>
  <c r="P485" i="1" s="1"/>
  <c r="E485" i="1"/>
  <c r="O477" i="1"/>
  <c r="P477" i="1" s="1"/>
  <c r="E477" i="1"/>
  <c r="O473" i="1"/>
  <c r="P473" i="1" s="1"/>
  <c r="E473" i="1"/>
  <c r="O465" i="1"/>
  <c r="P465" i="1" s="1"/>
  <c r="E465" i="1"/>
  <c r="O457" i="1"/>
  <c r="P457" i="1" s="1"/>
  <c r="E457" i="1"/>
  <c r="O449" i="1"/>
  <c r="P449" i="1" s="1"/>
  <c r="E449" i="1"/>
  <c r="O445" i="1"/>
  <c r="P445" i="1" s="1"/>
  <c r="E445" i="1"/>
  <c r="O437" i="1"/>
  <c r="P437" i="1" s="1"/>
  <c r="E437" i="1"/>
  <c r="O433" i="1"/>
  <c r="P433" i="1" s="1"/>
  <c r="E433" i="1"/>
  <c r="O429" i="1"/>
  <c r="P429" i="1" s="1"/>
  <c r="E429" i="1"/>
  <c r="O421" i="1"/>
  <c r="P421" i="1" s="1"/>
  <c r="E421" i="1"/>
  <c r="O417" i="1"/>
  <c r="P417" i="1" s="1"/>
  <c r="E417" i="1"/>
  <c r="O409" i="1"/>
  <c r="P409" i="1" s="1"/>
  <c r="E409" i="1"/>
  <c r="O405" i="1"/>
  <c r="P405" i="1" s="1"/>
  <c r="E405" i="1"/>
  <c r="O397" i="1"/>
  <c r="P397" i="1" s="1"/>
  <c r="E397" i="1"/>
  <c r="O393" i="1"/>
  <c r="P393" i="1" s="1"/>
  <c r="E393" i="1"/>
  <c r="O389" i="1"/>
  <c r="P389" i="1" s="1"/>
  <c r="E389" i="1"/>
  <c r="O492" i="1"/>
  <c r="P492" i="1" s="1"/>
  <c r="E492" i="1"/>
  <c r="O484" i="1"/>
  <c r="P484" i="1" s="1"/>
  <c r="E484" i="1"/>
  <c r="O476" i="1"/>
  <c r="P476" i="1" s="1"/>
  <c r="E476" i="1"/>
  <c r="O468" i="1"/>
  <c r="P468" i="1" s="1"/>
  <c r="E468" i="1"/>
  <c r="O464" i="1"/>
  <c r="P464" i="1" s="1"/>
  <c r="E464" i="1"/>
  <c r="O456" i="1"/>
  <c r="P456" i="1" s="1"/>
  <c r="E456" i="1"/>
  <c r="O448" i="1"/>
  <c r="P448" i="1" s="1"/>
  <c r="E448" i="1"/>
  <c r="O440" i="1"/>
  <c r="P440" i="1" s="1"/>
  <c r="E440" i="1"/>
  <c r="O432" i="1"/>
  <c r="P432" i="1" s="1"/>
  <c r="E432" i="1"/>
  <c r="O428" i="1"/>
  <c r="P428" i="1" s="1"/>
  <c r="E428" i="1"/>
  <c r="O420" i="1"/>
  <c r="P420" i="1" s="1"/>
  <c r="E420" i="1"/>
  <c r="O408" i="1"/>
  <c r="P408" i="1" s="1"/>
  <c r="E408" i="1"/>
  <c r="O400" i="1"/>
  <c r="P400" i="1" s="1"/>
  <c r="E400" i="1"/>
  <c r="O396" i="1"/>
  <c r="P396" i="1" s="1"/>
  <c r="E396" i="1"/>
  <c r="O392" i="1"/>
  <c r="P392" i="1" s="1"/>
  <c r="E392" i="1"/>
  <c r="O384" i="1"/>
  <c r="P384" i="1" s="1"/>
  <c r="E384" i="1"/>
  <c r="O495" i="1"/>
  <c r="P495" i="1" s="1"/>
  <c r="E495" i="1"/>
  <c r="O491" i="1"/>
  <c r="P491" i="1" s="1"/>
  <c r="E491" i="1"/>
  <c r="O487" i="1"/>
  <c r="P487" i="1" s="1"/>
  <c r="E487" i="1"/>
  <c r="O483" i="1"/>
  <c r="P483" i="1" s="1"/>
  <c r="E483" i="1"/>
  <c r="O479" i="1"/>
  <c r="P479" i="1" s="1"/>
  <c r="E479" i="1"/>
  <c r="O475" i="1"/>
  <c r="P475" i="1" s="1"/>
  <c r="E475" i="1"/>
  <c r="O471" i="1"/>
  <c r="P471" i="1" s="1"/>
  <c r="E471" i="1"/>
  <c r="O467" i="1"/>
  <c r="P467" i="1" s="1"/>
  <c r="E467" i="1"/>
  <c r="O463" i="1"/>
  <c r="P463" i="1" s="1"/>
  <c r="E463" i="1"/>
  <c r="O459" i="1"/>
  <c r="P459" i="1" s="1"/>
  <c r="E459" i="1"/>
  <c r="O455" i="1"/>
  <c r="P455" i="1" s="1"/>
  <c r="E455" i="1"/>
  <c r="O451" i="1"/>
  <c r="P451" i="1" s="1"/>
  <c r="E451" i="1"/>
  <c r="O447" i="1"/>
  <c r="P447" i="1" s="1"/>
  <c r="E447" i="1"/>
  <c r="O443" i="1"/>
  <c r="P443" i="1" s="1"/>
  <c r="E443" i="1"/>
  <c r="O439" i="1"/>
  <c r="P439" i="1" s="1"/>
  <c r="E439" i="1"/>
  <c r="O435" i="1"/>
  <c r="P435" i="1" s="1"/>
  <c r="E435" i="1"/>
  <c r="O431" i="1"/>
  <c r="P431" i="1" s="1"/>
  <c r="E431" i="1"/>
  <c r="O427" i="1"/>
  <c r="P427" i="1" s="1"/>
  <c r="E427" i="1"/>
  <c r="O423" i="1"/>
  <c r="P423" i="1" s="1"/>
  <c r="E423" i="1"/>
  <c r="O419" i="1"/>
  <c r="P419" i="1" s="1"/>
  <c r="E419" i="1"/>
  <c r="O415" i="1"/>
  <c r="P415" i="1" s="1"/>
  <c r="E415" i="1"/>
  <c r="O411" i="1"/>
  <c r="P411" i="1" s="1"/>
  <c r="E411" i="1"/>
  <c r="O407" i="1"/>
  <c r="P407" i="1" s="1"/>
  <c r="E407" i="1"/>
  <c r="O403" i="1"/>
  <c r="P403" i="1" s="1"/>
  <c r="E403" i="1"/>
  <c r="O399" i="1"/>
  <c r="P399" i="1" s="1"/>
  <c r="E399" i="1"/>
  <c r="O395" i="1"/>
  <c r="P395" i="1" s="1"/>
  <c r="E395" i="1"/>
  <c r="O391" i="1"/>
  <c r="P391" i="1" s="1"/>
  <c r="E391" i="1"/>
  <c r="O387" i="1"/>
  <c r="P387" i="1" s="1"/>
  <c r="E387" i="1"/>
  <c r="O383" i="1"/>
  <c r="P383" i="1" s="1"/>
  <c r="E383" i="1"/>
  <c r="O498" i="1"/>
  <c r="P498" i="1" s="1"/>
  <c r="E498" i="1"/>
  <c r="O486" i="1"/>
  <c r="P486" i="1" s="1"/>
  <c r="E486" i="1"/>
  <c r="O478" i="1"/>
  <c r="P478" i="1" s="1"/>
  <c r="E478" i="1"/>
  <c r="O466" i="1"/>
  <c r="P466" i="1" s="1"/>
  <c r="E466" i="1"/>
  <c r="O450" i="1"/>
  <c r="P450" i="1" s="1"/>
  <c r="E450" i="1"/>
  <c r="O434" i="1"/>
  <c r="P434" i="1" s="1"/>
  <c r="E434" i="1"/>
  <c r="O418" i="1"/>
  <c r="P418" i="1" s="1"/>
  <c r="E418" i="1"/>
  <c r="O406" i="1"/>
  <c r="P406" i="1" s="1"/>
  <c r="E406" i="1"/>
  <c r="O394" i="1"/>
  <c r="P394" i="1" s="1"/>
  <c r="E394" i="1"/>
  <c r="O382" i="1"/>
  <c r="P382" i="1" s="1"/>
  <c r="E382" i="1"/>
  <c r="O493" i="1"/>
  <c r="P493" i="1" s="1"/>
  <c r="E493" i="1"/>
  <c r="O481" i="1"/>
  <c r="P481" i="1" s="1"/>
  <c r="E481" i="1"/>
  <c r="O469" i="1"/>
  <c r="P469" i="1" s="1"/>
  <c r="E469" i="1"/>
  <c r="O461" i="1"/>
  <c r="P461" i="1" s="1"/>
  <c r="E461" i="1"/>
  <c r="O453" i="1"/>
  <c r="P453" i="1" s="1"/>
  <c r="E453" i="1"/>
  <c r="O441" i="1"/>
  <c r="P441" i="1" s="1"/>
  <c r="E441" i="1"/>
  <c r="O425" i="1"/>
  <c r="P425" i="1" s="1"/>
  <c r="E425" i="1"/>
  <c r="O413" i="1"/>
  <c r="P413" i="1" s="1"/>
  <c r="E413" i="1"/>
  <c r="O401" i="1"/>
  <c r="P401" i="1" s="1"/>
  <c r="E401" i="1"/>
  <c r="O385" i="1"/>
  <c r="P385" i="1" s="1"/>
  <c r="E385" i="1"/>
  <c r="O496" i="1"/>
  <c r="P496" i="1" s="1"/>
  <c r="E496" i="1"/>
  <c r="O488" i="1"/>
  <c r="P488" i="1" s="1"/>
  <c r="E488" i="1"/>
  <c r="O480" i="1"/>
  <c r="P480" i="1" s="1"/>
  <c r="E480" i="1"/>
  <c r="O472" i="1"/>
  <c r="P472" i="1" s="1"/>
  <c r="E472" i="1"/>
  <c r="O460" i="1"/>
  <c r="P460" i="1" s="1"/>
  <c r="E460" i="1"/>
  <c r="O452" i="1"/>
  <c r="P452" i="1" s="1"/>
  <c r="E452" i="1"/>
  <c r="O444" i="1"/>
  <c r="P444" i="1" s="1"/>
  <c r="E444" i="1"/>
  <c r="O436" i="1"/>
  <c r="P436" i="1" s="1"/>
  <c r="E436" i="1"/>
  <c r="O424" i="1"/>
  <c r="P424" i="1" s="1"/>
  <c r="E424" i="1"/>
  <c r="O416" i="1"/>
  <c r="P416" i="1" s="1"/>
  <c r="E416" i="1"/>
  <c r="O412" i="1"/>
  <c r="P412" i="1" s="1"/>
  <c r="E412" i="1"/>
  <c r="O404" i="1"/>
  <c r="P404" i="1" s="1"/>
  <c r="E404" i="1"/>
  <c r="O388" i="1"/>
  <c r="P388" i="1" s="1"/>
  <c r="E388" i="1"/>
  <c r="Q3" i="1"/>
  <c r="Q4" i="1" s="1"/>
  <c r="Q5" i="1" s="1"/>
  <c r="Q6" i="1" s="1"/>
  <c r="Q7" i="1" s="1"/>
  <c r="Q8" i="1" s="1"/>
  <c r="Q9" i="1" s="1"/>
  <c r="Q10" i="1" s="1"/>
  <c r="Q11" i="1" s="1"/>
  <c r="Q12" i="1" s="1"/>
  <c r="Q13" i="1" s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Q54" i="1" s="1"/>
  <c r="Q55" i="1" s="1"/>
  <c r="Q56" i="1" s="1"/>
  <c r="Q57" i="1" s="1"/>
  <c r="Q58" i="1" s="1"/>
  <c r="Q59" i="1" s="1"/>
  <c r="Q60" i="1" s="1"/>
  <c r="Q61" i="1" s="1"/>
  <c r="Q62" i="1" s="1"/>
  <c r="Q63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Q104" i="1" s="1"/>
  <c r="Q105" i="1" s="1"/>
  <c r="Q106" i="1" s="1"/>
  <c r="Q107" i="1" s="1"/>
  <c r="Q108" i="1" s="1"/>
  <c r="Q109" i="1" s="1"/>
  <c r="Q110" i="1" s="1"/>
  <c r="Q111" i="1" s="1"/>
  <c r="Q112" i="1" s="1"/>
  <c r="Q113" i="1" s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Q141" i="1" s="1"/>
  <c r="Q142" i="1" s="1"/>
  <c r="Q143" i="1" s="1"/>
  <c r="Q144" i="1" s="1"/>
  <c r="Q145" i="1" s="1"/>
  <c r="Q146" i="1" s="1"/>
  <c r="Q147" i="1" s="1"/>
  <c r="Q148" i="1" s="1"/>
  <c r="Q149" i="1" s="1"/>
  <c r="Q150" i="1" s="1"/>
  <c r="Q151" i="1" s="1"/>
  <c r="Q152" i="1" s="1"/>
  <c r="Q153" i="1" s="1"/>
  <c r="Q154" i="1" s="1"/>
  <c r="Q155" i="1" s="1"/>
  <c r="Q156" i="1" s="1"/>
  <c r="Q157" i="1" s="1"/>
  <c r="Q158" i="1" s="1"/>
  <c r="Q159" i="1" s="1"/>
  <c r="Q160" i="1" s="1"/>
  <c r="Q161" i="1" s="1"/>
  <c r="Q162" i="1" s="1"/>
  <c r="Q163" i="1" s="1"/>
  <c r="Q164" i="1" s="1"/>
  <c r="Q165" i="1" s="1"/>
  <c r="Q166" i="1" s="1"/>
  <c r="Q167" i="1" s="1"/>
  <c r="Q168" i="1" s="1"/>
  <c r="Q169" i="1" s="1"/>
  <c r="Q170" i="1" s="1"/>
  <c r="Q171" i="1" s="1"/>
  <c r="Q172" i="1" s="1"/>
  <c r="Q173" i="1" s="1"/>
  <c r="Q174" i="1" s="1"/>
  <c r="Q175" i="1" s="1"/>
  <c r="Q176" i="1" s="1"/>
  <c r="Q177" i="1" s="1"/>
  <c r="Q178" i="1" s="1"/>
  <c r="Q179" i="1" s="1"/>
  <c r="Q180" i="1" s="1"/>
  <c r="Q181" i="1" s="1"/>
  <c r="Q182" i="1" s="1"/>
  <c r="Q183" i="1" s="1"/>
  <c r="Q184" i="1" s="1"/>
  <c r="Q185" i="1" s="1"/>
  <c r="Q186" i="1" s="1"/>
  <c r="Q187" i="1" s="1"/>
  <c r="Q188" i="1" s="1"/>
  <c r="Q189" i="1" s="1"/>
  <c r="Q190" i="1" s="1"/>
  <c r="Q191" i="1" s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Q204" i="1" s="1"/>
  <c r="Q205" i="1" s="1"/>
  <c r="Q206" i="1" s="1"/>
  <c r="Q207" i="1" s="1"/>
  <c r="Q208" i="1" s="1"/>
  <c r="Q209" i="1" s="1"/>
  <c r="Q210" i="1" s="1"/>
  <c r="Q211" i="1" s="1"/>
  <c r="Q212" i="1" s="1"/>
  <c r="Q213" i="1" s="1"/>
  <c r="Q214" i="1" s="1"/>
  <c r="Q215" i="1" s="1"/>
  <c r="Q216" i="1" s="1"/>
  <c r="Q217" i="1" s="1"/>
  <c r="Q218" i="1" s="1"/>
  <c r="Q219" i="1" s="1"/>
  <c r="Q220" i="1" s="1"/>
  <c r="Q221" i="1" s="1"/>
  <c r="Q222" i="1" s="1"/>
  <c r="Q223" i="1" s="1"/>
  <c r="Q224" i="1" s="1"/>
  <c r="Q225" i="1" s="1"/>
  <c r="Q226" i="1" s="1"/>
  <c r="Q227" i="1" s="1"/>
  <c r="Q228" i="1" s="1"/>
  <c r="Q229" i="1" s="1"/>
  <c r="Q230" i="1" s="1"/>
  <c r="Q231" i="1" s="1"/>
  <c r="Q232" i="1" s="1"/>
  <c r="Q233" i="1" s="1"/>
  <c r="Q234" i="1" s="1"/>
  <c r="Q235" i="1" s="1"/>
  <c r="Q236" i="1" s="1"/>
  <c r="Q237" i="1" s="1"/>
  <c r="Q238" i="1" s="1"/>
  <c r="Q239" i="1" s="1"/>
  <c r="Q240" i="1" s="1"/>
  <c r="Q241" i="1" s="1"/>
  <c r="Q242" i="1" s="1"/>
  <c r="Q243" i="1" s="1"/>
  <c r="Q244" i="1" s="1"/>
  <c r="Q245" i="1" s="1"/>
  <c r="Q246" i="1" s="1"/>
  <c r="Q247" i="1" s="1"/>
  <c r="Q248" i="1" s="1"/>
  <c r="Q249" i="1" s="1"/>
  <c r="Q250" i="1" s="1"/>
  <c r="Q251" i="1" s="1"/>
  <c r="Q252" i="1" s="1"/>
  <c r="Q253" i="1" s="1"/>
  <c r="Q254" i="1" s="1"/>
  <c r="Q255" i="1" s="1"/>
  <c r="Q256" i="1" s="1"/>
  <c r="Q257" i="1" s="1"/>
  <c r="Q258" i="1" s="1"/>
  <c r="Q259" i="1" s="1"/>
  <c r="Q260" i="1" s="1"/>
  <c r="Q261" i="1" s="1"/>
  <c r="Q262" i="1" s="1"/>
  <c r="Q263" i="1" s="1"/>
  <c r="Q264" i="1" s="1"/>
  <c r="Q265" i="1" s="1"/>
  <c r="Q266" i="1" s="1"/>
  <c r="Q267" i="1" s="1"/>
  <c r="Q268" i="1" s="1"/>
  <c r="Q269" i="1" s="1"/>
  <c r="Q270" i="1" s="1"/>
  <c r="Q271" i="1" s="1"/>
  <c r="Q272" i="1" s="1"/>
  <c r="Q273" i="1" s="1"/>
  <c r="Q274" i="1" s="1"/>
  <c r="Q275" i="1" s="1"/>
  <c r="Q276" i="1" s="1"/>
  <c r="Q277" i="1" s="1"/>
  <c r="Q278" i="1" s="1"/>
  <c r="Q279" i="1" s="1"/>
  <c r="Q280" i="1" s="1"/>
  <c r="Q281" i="1" s="1"/>
  <c r="Q282" i="1" s="1"/>
  <c r="Q283" i="1" s="1"/>
  <c r="Q284" i="1" s="1"/>
  <c r="Q285" i="1" s="1"/>
  <c r="Q286" i="1" s="1"/>
  <c r="Q287" i="1" s="1"/>
  <c r="Q288" i="1" s="1"/>
  <c r="Q289" i="1" s="1"/>
  <c r="Q290" i="1" s="1"/>
  <c r="Q291" i="1" s="1"/>
  <c r="Q292" i="1" s="1"/>
  <c r="Q293" i="1" s="1"/>
  <c r="Q294" i="1" s="1"/>
  <c r="Q295" i="1" s="1"/>
  <c r="Q296" i="1" s="1"/>
  <c r="Q297" i="1" s="1"/>
  <c r="Q298" i="1" s="1"/>
  <c r="Q299" i="1" s="1"/>
  <c r="Q300" i="1" s="1"/>
  <c r="Q301" i="1" s="1"/>
  <c r="Q302" i="1" s="1"/>
  <c r="Q303" i="1" s="1"/>
  <c r="Q304" i="1" s="1"/>
  <c r="Q305" i="1" s="1"/>
  <c r="Q306" i="1" s="1"/>
  <c r="Q307" i="1" s="1"/>
  <c r="Q308" i="1" s="1"/>
  <c r="Q309" i="1" s="1"/>
  <c r="Q310" i="1" s="1"/>
  <c r="Q311" i="1" s="1"/>
  <c r="Q312" i="1" s="1"/>
  <c r="Q313" i="1" s="1"/>
  <c r="Q314" i="1" s="1"/>
  <c r="Q315" i="1" s="1"/>
  <c r="Q316" i="1" s="1"/>
  <c r="Q317" i="1" s="1"/>
  <c r="Q318" i="1" s="1"/>
  <c r="Q319" i="1" s="1"/>
  <c r="Q320" i="1" s="1"/>
  <c r="Q321" i="1" s="1"/>
  <c r="Q322" i="1" s="1"/>
  <c r="Q323" i="1" s="1"/>
  <c r="Q324" i="1" s="1"/>
  <c r="Q325" i="1" s="1"/>
  <c r="Q326" i="1" s="1"/>
  <c r="Q327" i="1" s="1"/>
  <c r="Q328" i="1" s="1"/>
  <c r="Q329" i="1" s="1"/>
  <c r="Q330" i="1" s="1"/>
  <c r="Q331" i="1" s="1"/>
  <c r="Q332" i="1" s="1"/>
  <c r="Q333" i="1" s="1"/>
  <c r="Q334" i="1" s="1"/>
  <c r="Q335" i="1" s="1"/>
  <c r="Q336" i="1" s="1"/>
  <c r="Q337" i="1" s="1"/>
  <c r="Q338" i="1" s="1"/>
  <c r="Q339" i="1" s="1"/>
  <c r="Q340" i="1" s="1"/>
  <c r="Q341" i="1" s="1"/>
  <c r="Q342" i="1" s="1"/>
  <c r="Q343" i="1" s="1"/>
  <c r="Q344" i="1" s="1"/>
  <c r="Q345" i="1" s="1"/>
  <c r="Q346" i="1" s="1"/>
  <c r="Q347" i="1" s="1"/>
  <c r="Q348" i="1" s="1"/>
  <c r="Q349" i="1" s="1"/>
  <c r="Q350" i="1" s="1"/>
  <c r="Q351" i="1" s="1"/>
  <c r="Q352" i="1" s="1"/>
  <c r="Q353" i="1" s="1"/>
  <c r="Q354" i="1" s="1"/>
  <c r="Q355" i="1" s="1"/>
  <c r="Q356" i="1" s="1"/>
  <c r="Q357" i="1" s="1"/>
  <c r="Q358" i="1" s="1"/>
  <c r="Q359" i="1" s="1"/>
  <c r="Q360" i="1" s="1"/>
  <c r="Q361" i="1" s="1"/>
  <c r="Q362" i="1" s="1"/>
  <c r="Q363" i="1" s="1"/>
  <c r="Q364" i="1" s="1"/>
  <c r="Q365" i="1" s="1"/>
  <c r="Q366" i="1" s="1"/>
  <c r="Q367" i="1" s="1"/>
  <c r="Q368" i="1" s="1"/>
  <c r="Q369" i="1" s="1"/>
  <c r="Q370" i="1" s="1"/>
  <c r="Q371" i="1" s="1"/>
  <c r="Q372" i="1" s="1"/>
  <c r="Q373" i="1" s="1"/>
  <c r="Q374" i="1" s="1"/>
  <c r="Q375" i="1" s="1"/>
  <c r="Q376" i="1" s="1"/>
  <c r="Q377" i="1" s="1"/>
  <c r="Q378" i="1" s="1"/>
  <c r="Q379" i="1" s="1"/>
  <c r="Q380" i="1" s="1"/>
  <c r="Q381" i="1" s="1"/>
  <c r="Q382" i="1" s="1"/>
  <c r="Q383" i="1" s="1"/>
  <c r="Q384" i="1" s="1"/>
  <c r="Q385" i="1" s="1"/>
  <c r="Q386" i="1" s="1"/>
  <c r="Q387" i="1" s="1"/>
  <c r="Q388" i="1" s="1"/>
  <c r="Q389" i="1" s="1"/>
  <c r="Q390" i="1" s="1"/>
  <c r="Q391" i="1" s="1"/>
  <c r="Q392" i="1" s="1"/>
  <c r="Q393" i="1" s="1"/>
  <c r="Q394" i="1" s="1"/>
  <c r="Q395" i="1" s="1"/>
  <c r="Q396" i="1" s="1"/>
  <c r="Q397" i="1" s="1"/>
  <c r="Q398" i="1" s="1"/>
  <c r="Q399" i="1" s="1"/>
  <c r="Q400" i="1" s="1"/>
  <c r="Q401" i="1" s="1"/>
  <c r="Q402" i="1" s="1"/>
  <c r="Q403" i="1" s="1"/>
  <c r="Q404" i="1" s="1"/>
  <c r="Q405" i="1" s="1"/>
  <c r="Q406" i="1" s="1"/>
  <c r="Q407" i="1" s="1"/>
  <c r="Q408" i="1" s="1"/>
  <c r="Q409" i="1" s="1"/>
  <c r="Q410" i="1" s="1"/>
  <c r="Q411" i="1" s="1"/>
  <c r="Q412" i="1" s="1"/>
  <c r="Q413" i="1" s="1"/>
  <c r="Q414" i="1" s="1"/>
  <c r="Q415" i="1" s="1"/>
  <c r="Q416" i="1" s="1"/>
  <c r="Q417" i="1" s="1"/>
  <c r="Q418" i="1" s="1"/>
  <c r="Q419" i="1" s="1"/>
  <c r="Q420" i="1" s="1"/>
  <c r="Q421" i="1" s="1"/>
  <c r="Q422" i="1" s="1"/>
  <c r="Q423" i="1" s="1"/>
  <c r="Q424" i="1" s="1"/>
  <c r="Q425" i="1" s="1"/>
  <c r="Q426" i="1" s="1"/>
  <c r="Q427" i="1" s="1"/>
  <c r="Q428" i="1" s="1"/>
  <c r="Q429" i="1" s="1"/>
  <c r="Q430" i="1" s="1"/>
  <c r="Q431" i="1" s="1"/>
  <c r="Q432" i="1" s="1"/>
  <c r="Q433" i="1" s="1"/>
  <c r="Q434" i="1" s="1"/>
  <c r="Q435" i="1" s="1"/>
  <c r="Q436" i="1" s="1"/>
  <c r="Q437" i="1" s="1"/>
  <c r="Q438" i="1" s="1"/>
  <c r="Q439" i="1" s="1"/>
  <c r="Q440" i="1" s="1"/>
  <c r="Q441" i="1" s="1"/>
  <c r="Q442" i="1" s="1"/>
  <c r="Q443" i="1" s="1"/>
  <c r="Q444" i="1" s="1"/>
  <c r="Q445" i="1" s="1"/>
  <c r="Q446" i="1" s="1"/>
  <c r="Q447" i="1" s="1"/>
  <c r="Q448" i="1" s="1"/>
  <c r="Q449" i="1" s="1"/>
  <c r="Q450" i="1" s="1"/>
  <c r="Q451" i="1" s="1"/>
  <c r="Q452" i="1" s="1"/>
  <c r="Q453" i="1" s="1"/>
  <c r="Q454" i="1" s="1"/>
  <c r="Q455" i="1" s="1"/>
  <c r="Q456" i="1" s="1"/>
  <c r="Q457" i="1" s="1"/>
  <c r="Q458" i="1" s="1"/>
  <c r="Q459" i="1" s="1"/>
  <c r="Q460" i="1" s="1"/>
  <c r="Q461" i="1" s="1"/>
  <c r="Q462" i="1" s="1"/>
  <c r="Q463" i="1" s="1"/>
  <c r="Q464" i="1" s="1"/>
  <c r="Q465" i="1" s="1"/>
  <c r="Q466" i="1" s="1"/>
  <c r="Q467" i="1" s="1"/>
  <c r="Q468" i="1" s="1"/>
  <c r="Q469" i="1" s="1"/>
  <c r="Q470" i="1" s="1"/>
  <c r="Q471" i="1" s="1"/>
  <c r="Q472" i="1" s="1"/>
  <c r="Q473" i="1" s="1"/>
  <c r="Q474" i="1" s="1"/>
  <c r="Q475" i="1" s="1"/>
  <c r="Q476" i="1" s="1"/>
  <c r="Q477" i="1" s="1"/>
  <c r="Q478" i="1" s="1"/>
  <c r="Q479" i="1" s="1"/>
  <c r="Q480" i="1" s="1"/>
  <c r="Q481" i="1" s="1"/>
  <c r="Q482" i="1" s="1"/>
  <c r="Q483" i="1" s="1"/>
  <c r="Q484" i="1" s="1"/>
  <c r="Q485" i="1" s="1"/>
  <c r="Q486" i="1" s="1"/>
  <c r="Q487" i="1" s="1"/>
  <c r="Q488" i="1" s="1"/>
  <c r="Q489" i="1" s="1"/>
  <c r="Q490" i="1" s="1"/>
  <c r="Q491" i="1" s="1"/>
  <c r="Q492" i="1" s="1"/>
  <c r="Q493" i="1" s="1"/>
  <c r="Q494" i="1" s="1"/>
  <c r="Q495" i="1" s="1"/>
  <c r="Q496" i="1" s="1"/>
  <c r="Q497" i="1" s="1"/>
  <c r="Q498" i="1" s="1"/>
  <c r="Q499" i="1" s="1"/>
  <c r="V18" i="1"/>
  <c r="V19" i="1"/>
  <c r="V20" i="1"/>
  <c r="V21" i="1"/>
  <c r="V22" i="1"/>
  <c r="V23" i="1"/>
  <c r="V17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M372" i="1" l="1"/>
  <c r="L372" i="1"/>
  <c r="M364" i="1"/>
  <c r="L364" i="1"/>
  <c r="M348" i="1"/>
  <c r="L348" i="1"/>
  <c r="M336" i="1"/>
  <c r="L336" i="1"/>
  <c r="M388" i="1"/>
  <c r="L388" i="1"/>
  <c r="M412" i="1"/>
  <c r="L412" i="1"/>
  <c r="L424" i="1"/>
  <c r="M424" i="1"/>
  <c r="M444" i="1"/>
  <c r="L444" i="1"/>
  <c r="M460" i="1"/>
  <c r="L460" i="1"/>
  <c r="L480" i="1"/>
  <c r="M480" i="1"/>
  <c r="L496" i="1"/>
  <c r="M496" i="1"/>
  <c r="M401" i="1"/>
  <c r="L401" i="1"/>
  <c r="M425" i="1"/>
  <c r="L425" i="1"/>
  <c r="M453" i="1"/>
  <c r="L453" i="1"/>
  <c r="M469" i="1"/>
  <c r="L469" i="1"/>
  <c r="M493" i="1"/>
  <c r="L493" i="1"/>
  <c r="M394" i="1"/>
  <c r="L394" i="1"/>
  <c r="M418" i="1"/>
  <c r="L418" i="1"/>
  <c r="M450" i="1"/>
  <c r="L450" i="1"/>
  <c r="M478" i="1"/>
  <c r="L478" i="1"/>
  <c r="M498" i="1"/>
  <c r="L498" i="1"/>
  <c r="M387" i="1"/>
  <c r="L387" i="1"/>
  <c r="M395" i="1"/>
  <c r="L395" i="1"/>
  <c r="M403" i="1"/>
  <c r="L403" i="1"/>
  <c r="M411" i="1"/>
  <c r="L411" i="1"/>
  <c r="M419" i="1"/>
  <c r="L419" i="1"/>
  <c r="M427" i="1"/>
  <c r="L427" i="1"/>
  <c r="M435" i="1"/>
  <c r="L435" i="1"/>
  <c r="M443" i="1"/>
  <c r="L443" i="1"/>
  <c r="M451" i="1"/>
  <c r="L451" i="1"/>
  <c r="M459" i="1"/>
  <c r="L459" i="1"/>
  <c r="M467" i="1"/>
  <c r="L467" i="1"/>
  <c r="M475" i="1"/>
  <c r="L475" i="1"/>
  <c r="M483" i="1"/>
  <c r="L483" i="1"/>
  <c r="M491" i="1"/>
  <c r="L491" i="1"/>
  <c r="L384" i="1"/>
  <c r="M384" i="1"/>
  <c r="M396" i="1"/>
  <c r="L396" i="1"/>
  <c r="L408" i="1"/>
  <c r="M408" i="1"/>
  <c r="M428" i="1"/>
  <c r="L428" i="1"/>
  <c r="L440" i="1"/>
  <c r="M440" i="1"/>
  <c r="L456" i="1"/>
  <c r="M456" i="1"/>
  <c r="M468" i="1"/>
  <c r="L468" i="1"/>
  <c r="M484" i="1"/>
  <c r="L484" i="1"/>
  <c r="M389" i="1"/>
  <c r="L389" i="1"/>
  <c r="M397" i="1"/>
  <c r="L397" i="1"/>
  <c r="M409" i="1"/>
  <c r="L409" i="1"/>
  <c r="M421" i="1"/>
  <c r="L421" i="1"/>
  <c r="M433" i="1"/>
  <c r="L433" i="1"/>
  <c r="M445" i="1"/>
  <c r="L445" i="1"/>
  <c r="M457" i="1"/>
  <c r="L457" i="1"/>
  <c r="M473" i="1"/>
  <c r="L473" i="1"/>
  <c r="M485" i="1"/>
  <c r="L485" i="1"/>
  <c r="M497" i="1"/>
  <c r="L497" i="1"/>
  <c r="M390" i="1"/>
  <c r="L390" i="1"/>
  <c r="M402" i="1"/>
  <c r="L402" i="1"/>
  <c r="M414" i="1"/>
  <c r="L414" i="1"/>
  <c r="M426" i="1"/>
  <c r="L426" i="1"/>
  <c r="M438" i="1"/>
  <c r="L438" i="1"/>
  <c r="M446" i="1"/>
  <c r="L446" i="1"/>
  <c r="M458" i="1"/>
  <c r="L458" i="1"/>
  <c r="M470" i="1"/>
  <c r="L470" i="1"/>
  <c r="M482" i="1"/>
  <c r="L482" i="1"/>
  <c r="M494" i="1"/>
  <c r="L494" i="1"/>
  <c r="V2" i="1"/>
  <c r="M379" i="1"/>
  <c r="L379" i="1"/>
  <c r="L375" i="1"/>
  <c r="M375" i="1"/>
  <c r="M371" i="1"/>
  <c r="L371" i="1"/>
  <c r="L367" i="1"/>
  <c r="M367" i="1"/>
  <c r="M363" i="1"/>
  <c r="L363" i="1"/>
  <c r="L359" i="1"/>
  <c r="M359" i="1"/>
  <c r="M355" i="1"/>
  <c r="L355" i="1"/>
  <c r="L351" i="1"/>
  <c r="M351" i="1"/>
  <c r="L347" i="1"/>
  <c r="M347" i="1"/>
  <c r="L343" i="1"/>
  <c r="M343" i="1"/>
  <c r="L339" i="1"/>
  <c r="M339" i="1"/>
  <c r="M335" i="1"/>
  <c r="L335" i="1"/>
  <c r="M331" i="1"/>
  <c r="L331" i="1"/>
  <c r="M327" i="1"/>
  <c r="L327" i="1"/>
  <c r="V6" i="1"/>
  <c r="M380" i="1"/>
  <c r="L380" i="1"/>
  <c r="L368" i="1"/>
  <c r="M368" i="1"/>
  <c r="L360" i="1"/>
  <c r="M360" i="1"/>
  <c r="L352" i="1"/>
  <c r="M352" i="1"/>
  <c r="L344" i="1"/>
  <c r="M344" i="1"/>
  <c r="M332" i="1"/>
  <c r="L332" i="1"/>
  <c r="M378" i="1"/>
  <c r="L378" i="1"/>
  <c r="M374" i="1"/>
  <c r="L374" i="1"/>
  <c r="M370" i="1"/>
  <c r="L370" i="1"/>
  <c r="M366" i="1"/>
  <c r="L366" i="1"/>
  <c r="M362" i="1"/>
  <c r="L362" i="1"/>
  <c r="M358" i="1"/>
  <c r="L358" i="1"/>
  <c r="M354" i="1"/>
  <c r="L354" i="1"/>
  <c r="M350" i="1"/>
  <c r="L350" i="1"/>
  <c r="M346" i="1"/>
  <c r="L346" i="1"/>
  <c r="M342" i="1"/>
  <c r="L342" i="1"/>
  <c r="M338" i="1"/>
  <c r="L338" i="1"/>
  <c r="L334" i="1"/>
  <c r="M334" i="1"/>
  <c r="M330" i="1"/>
  <c r="L330" i="1"/>
  <c r="L416" i="1"/>
  <c r="M416" i="1"/>
  <c r="M452" i="1"/>
  <c r="L452" i="1"/>
  <c r="L488" i="1"/>
  <c r="M488" i="1"/>
  <c r="M413" i="1"/>
  <c r="L413" i="1"/>
  <c r="M461" i="1"/>
  <c r="L461" i="1"/>
  <c r="M481" i="1"/>
  <c r="L481" i="1"/>
  <c r="M406" i="1"/>
  <c r="L406" i="1"/>
  <c r="M434" i="1"/>
  <c r="L434" i="1"/>
  <c r="M486" i="1"/>
  <c r="L486" i="1"/>
  <c r="L391" i="1"/>
  <c r="M391" i="1"/>
  <c r="L407" i="1"/>
  <c r="M407" i="1"/>
  <c r="L423" i="1"/>
  <c r="M423" i="1"/>
  <c r="L447" i="1"/>
  <c r="M447" i="1"/>
  <c r="L463" i="1"/>
  <c r="M463" i="1"/>
  <c r="L479" i="1"/>
  <c r="M479" i="1"/>
  <c r="L487" i="1"/>
  <c r="M487" i="1"/>
  <c r="L392" i="1"/>
  <c r="M392" i="1"/>
  <c r="L400" i="1"/>
  <c r="M400" i="1"/>
  <c r="L432" i="1"/>
  <c r="M432" i="1"/>
  <c r="L464" i="1"/>
  <c r="M464" i="1"/>
  <c r="M492" i="1"/>
  <c r="L492" i="1"/>
  <c r="M405" i="1"/>
  <c r="L405" i="1"/>
  <c r="M429" i="1"/>
  <c r="L429" i="1"/>
  <c r="M449" i="1"/>
  <c r="L449" i="1"/>
  <c r="M477" i="1"/>
  <c r="L477" i="1"/>
  <c r="M489" i="1"/>
  <c r="L489" i="1"/>
  <c r="M398" i="1"/>
  <c r="L398" i="1"/>
  <c r="M410" i="1"/>
  <c r="L410" i="1"/>
  <c r="M442" i="1"/>
  <c r="L442" i="1"/>
  <c r="M454" i="1"/>
  <c r="L454" i="1"/>
  <c r="M490" i="1"/>
  <c r="L490" i="1"/>
  <c r="V5" i="1"/>
  <c r="L376" i="1"/>
  <c r="M376" i="1"/>
  <c r="M356" i="1"/>
  <c r="L356" i="1"/>
  <c r="M340" i="1"/>
  <c r="L340" i="1"/>
  <c r="M328" i="1"/>
  <c r="L328" i="1"/>
  <c r="M404" i="1"/>
  <c r="L404" i="1"/>
  <c r="M436" i="1"/>
  <c r="L436" i="1"/>
  <c r="L472" i="1"/>
  <c r="M472" i="1"/>
  <c r="M385" i="1"/>
  <c r="L385" i="1"/>
  <c r="M441" i="1"/>
  <c r="L441" i="1"/>
  <c r="M382" i="1"/>
  <c r="L382" i="1"/>
  <c r="M466" i="1"/>
  <c r="L466" i="1"/>
  <c r="L383" i="1"/>
  <c r="M383" i="1"/>
  <c r="L399" i="1"/>
  <c r="M399" i="1"/>
  <c r="L415" i="1"/>
  <c r="M415" i="1"/>
  <c r="L431" i="1"/>
  <c r="M431" i="1"/>
  <c r="L439" i="1"/>
  <c r="M439" i="1"/>
  <c r="L455" i="1"/>
  <c r="M455" i="1"/>
  <c r="L471" i="1"/>
  <c r="M471" i="1"/>
  <c r="L495" i="1"/>
  <c r="M495" i="1"/>
  <c r="M420" i="1"/>
  <c r="L420" i="1"/>
  <c r="L448" i="1"/>
  <c r="M448" i="1"/>
  <c r="M476" i="1"/>
  <c r="L476" i="1"/>
  <c r="M393" i="1"/>
  <c r="L393" i="1"/>
  <c r="M417" i="1"/>
  <c r="L417" i="1"/>
  <c r="M437" i="1"/>
  <c r="L437" i="1"/>
  <c r="M465" i="1"/>
  <c r="L465" i="1"/>
  <c r="M386" i="1"/>
  <c r="L386" i="1"/>
  <c r="M422" i="1"/>
  <c r="L422" i="1"/>
  <c r="M430" i="1"/>
  <c r="L430" i="1"/>
  <c r="M462" i="1"/>
  <c r="L462" i="1"/>
  <c r="M474" i="1"/>
  <c r="L474" i="1"/>
  <c r="V4" i="1"/>
  <c r="M381" i="1"/>
  <c r="L381" i="1"/>
  <c r="M377" i="1"/>
  <c r="L377" i="1"/>
  <c r="M373" i="1"/>
  <c r="L373" i="1"/>
  <c r="M369" i="1"/>
  <c r="L369" i="1"/>
  <c r="M365" i="1"/>
  <c r="L365" i="1"/>
  <c r="M361" i="1"/>
  <c r="L361" i="1"/>
  <c r="M357" i="1"/>
  <c r="L357" i="1"/>
  <c r="M353" i="1"/>
  <c r="L353" i="1"/>
  <c r="M349" i="1"/>
  <c r="L349" i="1"/>
  <c r="M345" i="1"/>
  <c r="L345" i="1"/>
  <c r="M341" i="1"/>
  <c r="L341" i="1"/>
  <c r="M337" i="1"/>
  <c r="L337" i="1"/>
  <c r="L333" i="1"/>
  <c r="M333" i="1"/>
  <c r="M329" i="1"/>
  <c r="L329" i="1"/>
  <c r="V3" i="1"/>
  <c r="Q500" i="1"/>
  <c r="R500" i="1" s="1"/>
  <c r="R499" i="1"/>
  <c r="V16" i="1"/>
  <c r="AA3" i="1"/>
  <c r="AA4" i="1" s="1"/>
  <c r="AA5" i="1" s="1"/>
  <c r="AA6" i="1" s="1"/>
  <c r="AA7" i="1" s="1"/>
  <c r="AA8" i="1" s="1"/>
  <c r="AA9" i="1" s="1"/>
  <c r="N327" i="1" l="1"/>
  <c r="O327" i="1" s="1"/>
  <c r="P327" i="1" s="1"/>
  <c r="N328" i="1"/>
  <c r="O328" i="1" s="1"/>
  <c r="P328" i="1" s="1"/>
  <c r="N329" i="1"/>
  <c r="O329" i="1" s="1"/>
  <c r="P329" i="1" s="1"/>
  <c r="N330" i="1"/>
  <c r="O330" i="1" s="1"/>
  <c r="P330" i="1" s="1"/>
  <c r="N331" i="1"/>
  <c r="O331" i="1" s="1"/>
  <c r="P331" i="1" s="1"/>
  <c r="N332" i="1"/>
  <c r="O332" i="1" s="1"/>
  <c r="P332" i="1" s="1"/>
  <c r="N333" i="1"/>
  <c r="O333" i="1" s="1"/>
  <c r="P333" i="1" s="1"/>
  <c r="N334" i="1"/>
  <c r="O334" i="1" s="1"/>
  <c r="P334" i="1" s="1"/>
  <c r="N335" i="1"/>
  <c r="O335" i="1" s="1"/>
  <c r="P335" i="1" s="1"/>
  <c r="N336" i="1"/>
  <c r="O336" i="1" s="1"/>
  <c r="P336" i="1" s="1"/>
  <c r="N337" i="1"/>
  <c r="O337" i="1" s="1"/>
  <c r="P337" i="1" s="1"/>
  <c r="N338" i="1"/>
  <c r="O338" i="1" s="1"/>
  <c r="P338" i="1" s="1"/>
  <c r="N339" i="1"/>
  <c r="O339" i="1" s="1"/>
  <c r="P339" i="1" s="1"/>
  <c r="N340" i="1"/>
  <c r="O340" i="1" s="1"/>
  <c r="P340" i="1" s="1"/>
  <c r="N341" i="1"/>
  <c r="O341" i="1" s="1"/>
  <c r="P341" i="1" s="1"/>
  <c r="N342" i="1"/>
  <c r="O342" i="1" s="1"/>
  <c r="P342" i="1" s="1"/>
  <c r="N343" i="1"/>
  <c r="O343" i="1" s="1"/>
  <c r="P343" i="1" s="1"/>
  <c r="N344" i="1"/>
  <c r="O344" i="1" s="1"/>
  <c r="P344" i="1" s="1"/>
  <c r="N345" i="1"/>
  <c r="O345" i="1" s="1"/>
  <c r="P345" i="1" s="1"/>
  <c r="N346" i="1"/>
  <c r="O346" i="1" s="1"/>
  <c r="P346" i="1" s="1"/>
  <c r="N347" i="1"/>
  <c r="O347" i="1" s="1"/>
  <c r="P347" i="1" s="1"/>
  <c r="N348" i="1"/>
  <c r="O348" i="1" s="1"/>
  <c r="P348" i="1" s="1"/>
  <c r="N349" i="1"/>
  <c r="O349" i="1" s="1"/>
  <c r="P349" i="1" s="1"/>
  <c r="N350" i="1"/>
  <c r="O350" i="1" s="1"/>
  <c r="P350" i="1" s="1"/>
  <c r="N351" i="1"/>
  <c r="O351" i="1" s="1"/>
  <c r="P351" i="1" s="1"/>
  <c r="N352" i="1"/>
  <c r="O352" i="1" s="1"/>
  <c r="P352" i="1" s="1"/>
  <c r="N353" i="1"/>
  <c r="O353" i="1" s="1"/>
  <c r="P353" i="1" s="1"/>
  <c r="N354" i="1"/>
  <c r="O354" i="1" s="1"/>
  <c r="P354" i="1" s="1"/>
  <c r="N355" i="1"/>
  <c r="O355" i="1" s="1"/>
  <c r="P355" i="1" s="1"/>
  <c r="N356" i="1"/>
  <c r="O356" i="1" s="1"/>
  <c r="P356" i="1" s="1"/>
  <c r="N357" i="1"/>
  <c r="O357" i="1" s="1"/>
  <c r="P357" i="1" s="1"/>
  <c r="N358" i="1"/>
  <c r="O358" i="1" s="1"/>
  <c r="P358" i="1" s="1"/>
  <c r="N359" i="1"/>
  <c r="O359" i="1" s="1"/>
  <c r="P359" i="1" s="1"/>
  <c r="N360" i="1"/>
  <c r="O360" i="1" s="1"/>
  <c r="P360" i="1" s="1"/>
  <c r="N361" i="1"/>
  <c r="O361" i="1" s="1"/>
  <c r="P361" i="1" s="1"/>
  <c r="N362" i="1"/>
  <c r="O362" i="1" s="1"/>
  <c r="P362" i="1" s="1"/>
  <c r="N363" i="1"/>
  <c r="O363" i="1" s="1"/>
  <c r="P363" i="1" s="1"/>
  <c r="N364" i="1"/>
  <c r="O364" i="1" s="1"/>
  <c r="P364" i="1" s="1"/>
  <c r="N365" i="1"/>
  <c r="O365" i="1" s="1"/>
  <c r="P365" i="1" s="1"/>
  <c r="N366" i="1"/>
  <c r="O366" i="1" s="1"/>
  <c r="P366" i="1" s="1"/>
  <c r="N367" i="1"/>
  <c r="O367" i="1" s="1"/>
  <c r="P367" i="1" s="1"/>
  <c r="N368" i="1"/>
  <c r="O368" i="1" s="1"/>
  <c r="P368" i="1" s="1"/>
  <c r="N369" i="1"/>
  <c r="O369" i="1" s="1"/>
  <c r="P369" i="1" s="1"/>
  <c r="N370" i="1"/>
  <c r="O370" i="1" s="1"/>
  <c r="P370" i="1" s="1"/>
  <c r="N371" i="1"/>
  <c r="O371" i="1" s="1"/>
  <c r="P371" i="1" s="1"/>
  <c r="N372" i="1"/>
  <c r="O372" i="1" s="1"/>
  <c r="P372" i="1" s="1"/>
  <c r="N373" i="1"/>
  <c r="O373" i="1" s="1"/>
  <c r="P373" i="1" s="1"/>
  <c r="N374" i="1"/>
  <c r="O374" i="1" s="1"/>
  <c r="P374" i="1" s="1"/>
  <c r="N375" i="1"/>
  <c r="O375" i="1" s="1"/>
  <c r="P375" i="1" s="1"/>
  <c r="N376" i="1"/>
  <c r="O376" i="1" s="1"/>
  <c r="P376" i="1" s="1"/>
  <c r="N377" i="1"/>
  <c r="O377" i="1" s="1"/>
  <c r="P377" i="1" s="1"/>
  <c r="N378" i="1"/>
  <c r="O378" i="1" s="1"/>
  <c r="P378" i="1" s="1"/>
  <c r="N379" i="1"/>
  <c r="O379" i="1" s="1"/>
  <c r="P379" i="1" s="1"/>
  <c r="N380" i="1"/>
  <c r="O380" i="1" s="1"/>
  <c r="P380" i="1" s="1"/>
  <c r="N381" i="1"/>
  <c r="O381" i="1" s="1"/>
  <c r="P381" i="1" s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3" i="1"/>
  <c r="O3" i="1" s="1"/>
  <c r="P3" i="1" s="1"/>
  <c r="N4" i="1"/>
  <c r="O4" i="1" s="1"/>
  <c r="P4" i="1" s="1"/>
  <c r="N5" i="1"/>
  <c r="O5" i="1" s="1"/>
  <c r="P5" i="1" s="1"/>
  <c r="N6" i="1"/>
  <c r="O6" i="1" s="1"/>
  <c r="P6" i="1" s="1"/>
  <c r="N7" i="1"/>
  <c r="O7" i="1" s="1"/>
  <c r="P7" i="1" s="1"/>
  <c r="N8" i="1"/>
  <c r="O8" i="1" s="1"/>
  <c r="P8" i="1" s="1"/>
  <c r="N9" i="1"/>
  <c r="O9" i="1" s="1"/>
  <c r="P9" i="1" s="1"/>
  <c r="N10" i="1"/>
  <c r="O10" i="1" s="1"/>
  <c r="P10" i="1" s="1"/>
  <c r="N11" i="1"/>
  <c r="O11" i="1" s="1"/>
  <c r="P11" i="1" s="1"/>
  <c r="N12" i="1"/>
  <c r="O12" i="1" s="1"/>
  <c r="P12" i="1" s="1"/>
  <c r="N13" i="1"/>
  <c r="O13" i="1" s="1"/>
  <c r="P13" i="1" s="1"/>
  <c r="N14" i="1"/>
  <c r="O14" i="1" s="1"/>
  <c r="P14" i="1" s="1"/>
  <c r="N15" i="1"/>
  <c r="O15" i="1" s="1"/>
  <c r="P15" i="1" s="1"/>
  <c r="N16" i="1"/>
  <c r="O16" i="1" s="1"/>
  <c r="P16" i="1" s="1"/>
  <c r="N17" i="1"/>
  <c r="O17" i="1" s="1"/>
  <c r="P17" i="1" s="1"/>
  <c r="N18" i="1"/>
  <c r="O18" i="1" s="1"/>
  <c r="P18" i="1" s="1"/>
  <c r="N19" i="1"/>
  <c r="O19" i="1" s="1"/>
  <c r="P19" i="1" s="1"/>
  <c r="N20" i="1"/>
  <c r="O20" i="1" s="1"/>
  <c r="P20" i="1" s="1"/>
  <c r="N21" i="1"/>
  <c r="O21" i="1" s="1"/>
  <c r="P21" i="1" s="1"/>
  <c r="N22" i="1"/>
  <c r="O22" i="1" s="1"/>
  <c r="P22" i="1" s="1"/>
  <c r="N23" i="1"/>
  <c r="O23" i="1" s="1"/>
  <c r="P23" i="1" s="1"/>
  <c r="N24" i="1"/>
  <c r="O24" i="1" s="1"/>
  <c r="P24" i="1" s="1"/>
  <c r="N25" i="1"/>
  <c r="O25" i="1" s="1"/>
  <c r="P25" i="1" s="1"/>
  <c r="N26" i="1"/>
  <c r="O26" i="1" s="1"/>
  <c r="P26" i="1" s="1"/>
  <c r="N27" i="1"/>
  <c r="O27" i="1" s="1"/>
  <c r="P27" i="1" s="1"/>
  <c r="N28" i="1"/>
  <c r="O28" i="1" s="1"/>
  <c r="P28" i="1" s="1"/>
  <c r="N29" i="1"/>
  <c r="O29" i="1" s="1"/>
  <c r="P29" i="1" s="1"/>
  <c r="N30" i="1"/>
  <c r="O30" i="1" s="1"/>
  <c r="P30" i="1" s="1"/>
  <c r="N31" i="1"/>
  <c r="O31" i="1" s="1"/>
  <c r="P31" i="1" s="1"/>
  <c r="N32" i="1"/>
  <c r="O32" i="1" s="1"/>
  <c r="P32" i="1" s="1"/>
  <c r="N33" i="1"/>
  <c r="O33" i="1" s="1"/>
  <c r="P33" i="1" s="1"/>
  <c r="N34" i="1"/>
  <c r="O34" i="1" s="1"/>
  <c r="P34" i="1" s="1"/>
  <c r="N35" i="1"/>
  <c r="O35" i="1" s="1"/>
  <c r="P35" i="1" s="1"/>
  <c r="N36" i="1"/>
  <c r="O36" i="1" s="1"/>
  <c r="P36" i="1" s="1"/>
  <c r="N37" i="1"/>
  <c r="O37" i="1" s="1"/>
  <c r="P37" i="1" s="1"/>
  <c r="N38" i="1"/>
  <c r="O38" i="1" s="1"/>
  <c r="P38" i="1" s="1"/>
  <c r="N39" i="1"/>
  <c r="O39" i="1" s="1"/>
  <c r="P39" i="1" s="1"/>
  <c r="N40" i="1"/>
  <c r="O40" i="1" s="1"/>
  <c r="P40" i="1" s="1"/>
  <c r="N41" i="1"/>
  <c r="O41" i="1" s="1"/>
  <c r="P41" i="1" s="1"/>
  <c r="N42" i="1"/>
  <c r="O42" i="1" s="1"/>
  <c r="P42" i="1" s="1"/>
  <c r="N43" i="1"/>
  <c r="O43" i="1" s="1"/>
  <c r="P43" i="1" s="1"/>
  <c r="N44" i="1"/>
  <c r="O44" i="1" s="1"/>
  <c r="P44" i="1" s="1"/>
  <c r="N45" i="1"/>
  <c r="O45" i="1" s="1"/>
  <c r="P45" i="1" s="1"/>
  <c r="N46" i="1"/>
  <c r="O46" i="1" s="1"/>
  <c r="P46" i="1" s="1"/>
  <c r="N47" i="1"/>
  <c r="O47" i="1" s="1"/>
  <c r="P47" i="1" s="1"/>
  <c r="N48" i="1"/>
  <c r="O48" i="1" s="1"/>
  <c r="P48" i="1" s="1"/>
  <c r="N49" i="1"/>
  <c r="O49" i="1" s="1"/>
  <c r="P49" i="1" s="1"/>
  <c r="N50" i="1"/>
  <c r="O50" i="1" s="1"/>
  <c r="P50" i="1" s="1"/>
  <c r="N51" i="1"/>
  <c r="O51" i="1" s="1"/>
  <c r="P51" i="1" s="1"/>
  <c r="N52" i="1"/>
  <c r="O52" i="1" s="1"/>
  <c r="P52" i="1" s="1"/>
  <c r="N53" i="1"/>
  <c r="O53" i="1" s="1"/>
  <c r="P53" i="1" s="1"/>
  <c r="N54" i="1"/>
  <c r="O54" i="1" s="1"/>
  <c r="P54" i="1" s="1"/>
  <c r="N55" i="1"/>
  <c r="O55" i="1" s="1"/>
  <c r="P55" i="1" s="1"/>
  <c r="N56" i="1"/>
  <c r="O56" i="1" s="1"/>
  <c r="P56" i="1" s="1"/>
  <c r="N57" i="1"/>
  <c r="O57" i="1" s="1"/>
  <c r="P57" i="1" s="1"/>
  <c r="N58" i="1"/>
  <c r="O58" i="1" s="1"/>
  <c r="P58" i="1" s="1"/>
  <c r="N59" i="1"/>
  <c r="O59" i="1" s="1"/>
  <c r="P59" i="1" s="1"/>
  <c r="N60" i="1"/>
  <c r="O60" i="1" s="1"/>
  <c r="P60" i="1" s="1"/>
  <c r="N61" i="1"/>
  <c r="O61" i="1" s="1"/>
  <c r="P61" i="1" s="1"/>
  <c r="N62" i="1"/>
  <c r="O62" i="1" s="1"/>
  <c r="P62" i="1" s="1"/>
  <c r="N63" i="1"/>
  <c r="O63" i="1" s="1"/>
  <c r="P63" i="1" s="1"/>
  <c r="N64" i="1"/>
  <c r="O64" i="1" s="1"/>
  <c r="P64" i="1" s="1"/>
  <c r="N65" i="1"/>
  <c r="O65" i="1" s="1"/>
  <c r="P65" i="1" s="1"/>
  <c r="N66" i="1"/>
  <c r="O66" i="1" s="1"/>
  <c r="P66" i="1" s="1"/>
  <c r="N67" i="1"/>
  <c r="O67" i="1" s="1"/>
  <c r="P67" i="1" s="1"/>
  <c r="N68" i="1"/>
  <c r="O68" i="1" s="1"/>
  <c r="P68" i="1" s="1"/>
  <c r="N69" i="1"/>
  <c r="O69" i="1" s="1"/>
  <c r="P69" i="1" s="1"/>
  <c r="N70" i="1"/>
  <c r="O70" i="1" s="1"/>
  <c r="P70" i="1" s="1"/>
  <c r="N71" i="1"/>
  <c r="O71" i="1" s="1"/>
  <c r="P71" i="1" s="1"/>
  <c r="N72" i="1"/>
  <c r="O72" i="1" s="1"/>
  <c r="P72" i="1" s="1"/>
  <c r="N73" i="1"/>
  <c r="O73" i="1" s="1"/>
  <c r="P73" i="1" s="1"/>
  <c r="N74" i="1"/>
  <c r="O74" i="1" s="1"/>
  <c r="P74" i="1" s="1"/>
  <c r="N75" i="1"/>
  <c r="O75" i="1" s="1"/>
  <c r="P75" i="1" s="1"/>
  <c r="N76" i="1"/>
  <c r="O76" i="1" s="1"/>
  <c r="P76" i="1" s="1"/>
  <c r="N77" i="1"/>
  <c r="O77" i="1" s="1"/>
  <c r="P77" i="1" s="1"/>
  <c r="N78" i="1"/>
  <c r="O78" i="1" s="1"/>
  <c r="P78" i="1" s="1"/>
  <c r="N79" i="1"/>
  <c r="O79" i="1" s="1"/>
  <c r="P79" i="1" s="1"/>
  <c r="N80" i="1"/>
  <c r="O80" i="1" s="1"/>
  <c r="P80" i="1" s="1"/>
  <c r="N81" i="1"/>
  <c r="O81" i="1" s="1"/>
  <c r="P81" i="1" s="1"/>
  <c r="N82" i="1"/>
  <c r="O82" i="1" s="1"/>
  <c r="P82" i="1" s="1"/>
  <c r="N83" i="1"/>
  <c r="O83" i="1" s="1"/>
  <c r="P83" i="1" s="1"/>
  <c r="N84" i="1"/>
  <c r="O84" i="1" s="1"/>
  <c r="P84" i="1" s="1"/>
  <c r="N85" i="1"/>
  <c r="O85" i="1" s="1"/>
  <c r="P85" i="1" s="1"/>
  <c r="N86" i="1"/>
  <c r="O86" i="1" s="1"/>
  <c r="P86" i="1" s="1"/>
  <c r="N87" i="1"/>
  <c r="O87" i="1" s="1"/>
  <c r="P87" i="1" s="1"/>
  <c r="N88" i="1"/>
  <c r="O88" i="1" s="1"/>
  <c r="P88" i="1" s="1"/>
  <c r="N89" i="1"/>
  <c r="O89" i="1" s="1"/>
  <c r="P89" i="1" s="1"/>
  <c r="N90" i="1"/>
  <c r="O90" i="1" s="1"/>
  <c r="P90" i="1" s="1"/>
  <c r="N91" i="1"/>
  <c r="O91" i="1" s="1"/>
  <c r="P91" i="1" s="1"/>
  <c r="N92" i="1"/>
  <c r="O92" i="1" s="1"/>
  <c r="P92" i="1" s="1"/>
  <c r="N93" i="1"/>
  <c r="O93" i="1" s="1"/>
  <c r="P93" i="1" s="1"/>
  <c r="N94" i="1"/>
  <c r="O94" i="1" s="1"/>
  <c r="P94" i="1" s="1"/>
  <c r="N95" i="1"/>
  <c r="O95" i="1" s="1"/>
  <c r="P95" i="1" s="1"/>
  <c r="N96" i="1"/>
  <c r="O96" i="1" s="1"/>
  <c r="P96" i="1" s="1"/>
  <c r="N97" i="1"/>
  <c r="O97" i="1" s="1"/>
  <c r="P97" i="1" s="1"/>
  <c r="N98" i="1"/>
  <c r="O98" i="1" s="1"/>
  <c r="P98" i="1" s="1"/>
  <c r="N99" i="1"/>
  <c r="O99" i="1" s="1"/>
  <c r="P99" i="1" s="1"/>
  <c r="N100" i="1"/>
  <c r="O100" i="1" s="1"/>
  <c r="P100" i="1" s="1"/>
  <c r="N101" i="1"/>
  <c r="O101" i="1" s="1"/>
  <c r="P101" i="1" s="1"/>
  <c r="N102" i="1"/>
  <c r="O102" i="1" s="1"/>
  <c r="P102" i="1" s="1"/>
  <c r="N103" i="1"/>
  <c r="O103" i="1" s="1"/>
  <c r="P103" i="1" s="1"/>
  <c r="N104" i="1"/>
  <c r="O104" i="1" s="1"/>
  <c r="P104" i="1" s="1"/>
  <c r="N105" i="1"/>
  <c r="O105" i="1" s="1"/>
  <c r="P105" i="1" s="1"/>
  <c r="N106" i="1"/>
  <c r="O106" i="1" s="1"/>
  <c r="P106" i="1" s="1"/>
  <c r="N107" i="1"/>
  <c r="O107" i="1" s="1"/>
  <c r="P107" i="1" s="1"/>
  <c r="N108" i="1"/>
  <c r="O108" i="1" s="1"/>
  <c r="P108" i="1" s="1"/>
  <c r="N109" i="1"/>
  <c r="O109" i="1" s="1"/>
  <c r="P109" i="1" s="1"/>
  <c r="N110" i="1"/>
  <c r="O110" i="1" s="1"/>
  <c r="P110" i="1" s="1"/>
  <c r="N111" i="1"/>
  <c r="O111" i="1" s="1"/>
  <c r="P111" i="1" s="1"/>
  <c r="N112" i="1"/>
  <c r="O112" i="1" s="1"/>
  <c r="P112" i="1" s="1"/>
  <c r="N113" i="1"/>
  <c r="O113" i="1" s="1"/>
  <c r="P113" i="1" s="1"/>
  <c r="N114" i="1"/>
  <c r="O114" i="1" s="1"/>
  <c r="P114" i="1" s="1"/>
  <c r="N115" i="1"/>
  <c r="O115" i="1" s="1"/>
  <c r="P115" i="1" s="1"/>
  <c r="N116" i="1"/>
  <c r="O116" i="1" s="1"/>
  <c r="P116" i="1" s="1"/>
  <c r="N117" i="1"/>
  <c r="O117" i="1" s="1"/>
  <c r="P117" i="1" s="1"/>
  <c r="N118" i="1"/>
  <c r="O118" i="1" s="1"/>
  <c r="P118" i="1" s="1"/>
  <c r="N119" i="1"/>
  <c r="O119" i="1" s="1"/>
  <c r="P119" i="1" s="1"/>
  <c r="N120" i="1"/>
  <c r="O120" i="1" s="1"/>
  <c r="P120" i="1" s="1"/>
  <c r="N121" i="1"/>
  <c r="O121" i="1" s="1"/>
  <c r="P121" i="1" s="1"/>
  <c r="N122" i="1"/>
  <c r="O122" i="1" s="1"/>
  <c r="P122" i="1" s="1"/>
  <c r="N123" i="1"/>
  <c r="O123" i="1" s="1"/>
  <c r="P123" i="1" s="1"/>
  <c r="N124" i="1"/>
  <c r="O124" i="1" s="1"/>
  <c r="P124" i="1" s="1"/>
  <c r="N125" i="1"/>
  <c r="O125" i="1" s="1"/>
  <c r="P125" i="1" s="1"/>
  <c r="N126" i="1"/>
  <c r="O126" i="1" s="1"/>
  <c r="P126" i="1" s="1"/>
  <c r="N127" i="1"/>
  <c r="O127" i="1" s="1"/>
  <c r="P127" i="1" s="1"/>
  <c r="N128" i="1"/>
  <c r="O128" i="1" s="1"/>
  <c r="P128" i="1" s="1"/>
  <c r="N129" i="1"/>
  <c r="O129" i="1" s="1"/>
  <c r="P129" i="1" s="1"/>
  <c r="N130" i="1"/>
  <c r="O130" i="1" s="1"/>
  <c r="P130" i="1" s="1"/>
  <c r="N131" i="1"/>
  <c r="O131" i="1" s="1"/>
  <c r="P131" i="1" s="1"/>
  <c r="N132" i="1"/>
  <c r="O132" i="1" s="1"/>
  <c r="P132" i="1" s="1"/>
  <c r="N133" i="1"/>
  <c r="O133" i="1" s="1"/>
  <c r="P133" i="1" s="1"/>
  <c r="N134" i="1"/>
  <c r="O134" i="1" s="1"/>
  <c r="P134" i="1" s="1"/>
  <c r="N135" i="1"/>
  <c r="O135" i="1" s="1"/>
  <c r="P135" i="1" s="1"/>
  <c r="N136" i="1"/>
  <c r="O136" i="1" s="1"/>
  <c r="P136" i="1" s="1"/>
  <c r="N137" i="1"/>
  <c r="O137" i="1" s="1"/>
  <c r="P137" i="1" s="1"/>
  <c r="N138" i="1"/>
  <c r="O138" i="1" s="1"/>
  <c r="P138" i="1" s="1"/>
  <c r="N139" i="1"/>
  <c r="O139" i="1" s="1"/>
  <c r="P139" i="1" s="1"/>
  <c r="N140" i="1"/>
  <c r="O140" i="1" s="1"/>
  <c r="P140" i="1" s="1"/>
  <c r="N141" i="1"/>
  <c r="O141" i="1" s="1"/>
  <c r="P141" i="1" s="1"/>
  <c r="N142" i="1"/>
  <c r="O142" i="1" s="1"/>
  <c r="P142" i="1" s="1"/>
  <c r="N143" i="1"/>
  <c r="O143" i="1" s="1"/>
  <c r="P143" i="1" s="1"/>
  <c r="N144" i="1"/>
  <c r="O144" i="1" s="1"/>
  <c r="P144" i="1" s="1"/>
  <c r="N145" i="1"/>
  <c r="O145" i="1" s="1"/>
  <c r="P145" i="1" s="1"/>
  <c r="N146" i="1"/>
  <c r="O146" i="1" s="1"/>
  <c r="P146" i="1" s="1"/>
  <c r="N147" i="1"/>
  <c r="O147" i="1" s="1"/>
  <c r="P147" i="1" s="1"/>
  <c r="N148" i="1"/>
  <c r="O148" i="1" s="1"/>
  <c r="P148" i="1" s="1"/>
  <c r="N149" i="1"/>
  <c r="O149" i="1" s="1"/>
  <c r="P149" i="1" s="1"/>
  <c r="N150" i="1"/>
  <c r="O150" i="1" s="1"/>
  <c r="P150" i="1" s="1"/>
  <c r="N151" i="1"/>
  <c r="O151" i="1" s="1"/>
  <c r="P151" i="1" s="1"/>
  <c r="N152" i="1"/>
  <c r="O152" i="1" s="1"/>
  <c r="P152" i="1" s="1"/>
  <c r="N153" i="1"/>
  <c r="O153" i="1" s="1"/>
  <c r="P153" i="1" s="1"/>
  <c r="N154" i="1"/>
  <c r="O154" i="1" s="1"/>
  <c r="P154" i="1" s="1"/>
  <c r="N155" i="1"/>
  <c r="O155" i="1" s="1"/>
  <c r="P155" i="1" s="1"/>
  <c r="N156" i="1"/>
  <c r="O156" i="1" s="1"/>
  <c r="P156" i="1" s="1"/>
  <c r="N157" i="1"/>
  <c r="O157" i="1" s="1"/>
  <c r="P157" i="1" s="1"/>
  <c r="N158" i="1"/>
  <c r="O158" i="1" s="1"/>
  <c r="P158" i="1" s="1"/>
  <c r="N159" i="1"/>
  <c r="O159" i="1" s="1"/>
  <c r="P159" i="1" s="1"/>
  <c r="N160" i="1"/>
  <c r="O160" i="1" s="1"/>
  <c r="P160" i="1" s="1"/>
  <c r="N161" i="1"/>
  <c r="O161" i="1" s="1"/>
  <c r="P161" i="1" s="1"/>
  <c r="N162" i="1"/>
  <c r="O162" i="1" s="1"/>
  <c r="P162" i="1" s="1"/>
  <c r="N163" i="1"/>
  <c r="O163" i="1" s="1"/>
  <c r="P163" i="1" s="1"/>
  <c r="N164" i="1"/>
  <c r="O164" i="1" s="1"/>
  <c r="P164" i="1" s="1"/>
  <c r="N165" i="1"/>
  <c r="O165" i="1" s="1"/>
  <c r="P165" i="1" s="1"/>
  <c r="N166" i="1"/>
  <c r="O166" i="1" s="1"/>
  <c r="P166" i="1" s="1"/>
  <c r="N167" i="1"/>
  <c r="O167" i="1" s="1"/>
  <c r="P167" i="1" s="1"/>
  <c r="N168" i="1"/>
  <c r="O168" i="1" s="1"/>
  <c r="P168" i="1" s="1"/>
  <c r="N169" i="1"/>
  <c r="O169" i="1" s="1"/>
  <c r="P169" i="1" s="1"/>
  <c r="N170" i="1"/>
  <c r="O170" i="1" s="1"/>
  <c r="P170" i="1" s="1"/>
  <c r="N171" i="1"/>
  <c r="O171" i="1" s="1"/>
  <c r="P171" i="1" s="1"/>
  <c r="N172" i="1"/>
  <c r="O172" i="1" s="1"/>
  <c r="P172" i="1" s="1"/>
  <c r="N173" i="1"/>
  <c r="O173" i="1" s="1"/>
  <c r="P173" i="1" s="1"/>
  <c r="N174" i="1"/>
  <c r="O174" i="1" s="1"/>
  <c r="P174" i="1" s="1"/>
  <c r="N175" i="1"/>
  <c r="O175" i="1" s="1"/>
  <c r="P175" i="1" s="1"/>
  <c r="N176" i="1"/>
  <c r="O176" i="1" s="1"/>
  <c r="P176" i="1" s="1"/>
  <c r="N177" i="1"/>
  <c r="O177" i="1" s="1"/>
  <c r="P177" i="1" s="1"/>
  <c r="N178" i="1"/>
  <c r="O178" i="1" s="1"/>
  <c r="P178" i="1" s="1"/>
  <c r="N179" i="1"/>
  <c r="O179" i="1" s="1"/>
  <c r="P179" i="1" s="1"/>
  <c r="N180" i="1"/>
  <c r="O180" i="1" s="1"/>
  <c r="P180" i="1" s="1"/>
  <c r="N181" i="1"/>
  <c r="O181" i="1" s="1"/>
  <c r="P181" i="1" s="1"/>
  <c r="N182" i="1"/>
  <c r="O182" i="1" s="1"/>
  <c r="P182" i="1" s="1"/>
  <c r="N183" i="1"/>
  <c r="O183" i="1" s="1"/>
  <c r="P183" i="1" s="1"/>
  <c r="N184" i="1"/>
  <c r="O184" i="1" s="1"/>
  <c r="P184" i="1" s="1"/>
  <c r="N185" i="1"/>
  <c r="O185" i="1" s="1"/>
  <c r="P185" i="1" s="1"/>
  <c r="N186" i="1"/>
  <c r="O186" i="1" s="1"/>
  <c r="P186" i="1" s="1"/>
  <c r="N187" i="1"/>
  <c r="O187" i="1" s="1"/>
  <c r="P187" i="1" s="1"/>
  <c r="N188" i="1"/>
  <c r="O188" i="1" s="1"/>
  <c r="P188" i="1" s="1"/>
  <c r="N189" i="1"/>
  <c r="O189" i="1" s="1"/>
  <c r="P189" i="1" s="1"/>
  <c r="N190" i="1"/>
  <c r="O190" i="1" s="1"/>
  <c r="P190" i="1" s="1"/>
  <c r="N191" i="1"/>
  <c r="O191" i="1" s="1"/>
  <c r="P191" i="1" s="1"/>
  <c r="N192" i="1"/>
  <c r="O192" i="1" s="1"/>
  <c r="P192" i="1" s="1"/>
  <c r="N193" i="1"/>
  <c r="O193" i="1" s="1"/>
  <c r="P193" i="1" s="1"/>
  <c r="N194" i="1"/>
  <c r="O194" i="1" s="1"/>
  <c r="P194" i="1" s="1"/>
  <c r="N195" i="1"/>
  <c r="O195" i="1" s="1"/>
  <c r="P195" i="1" s="1"/>
  <c r="N196" i="1"/>
  <c r="O196" i="1" s="1"/>
  <c r="P196" i="1" s="1"/>
  <c r="N197" i="1"/>
  <c r="O197" i="1" s="1"/>
  <c r="P197" i="1" s="1"/>
  <c r="N198" i="1"/>
  <c r="O198" i="1" s="1"/>
  <c r="P198" i="1" s="1"/>
  <c r="N199" i="1"/>
  <c r="O199" i="1" s="1"/>
  <c r="P199" i="1" s="1"/>
  <c r="N200" i="1"/>
  <c r="O200" i="1" s="1"/>
  <c r="P200" i="1" s="1"/>
  <c r="N201" i="1"/>
  <c r="O201" i="1" s="1"/>
  <c r="P201" i="1" s="1"/>
  <c r="N202" i="1"/>
  <c r="O202" i="1" s="1"/>
  <c r="P202" i="1" s="1"/>
  <c r="N203" i="1"/>
  <c r="O203" i="1" s="1"/>
  <c r="P203" i="1" s="1"/>
  <c r="N204" i="1"/>
  <c r="O204" i="1" s="1"/>
  <c r="P204" i="1" s="1"/>
  <c r="N205" i="1"/>
  <c r="O205" i="1" s="1"/>
  <c r="P205" i="1" s="1"/>
  <c r="N206" i="1"/>
  <c r="O206" i="1" s="1"/>
  <c r="P206" i="1" s="1"/>
  <c r="N207" i="1"/>
  <c r="O207" i="1" s="1"/>
  <c r="P207" i="1" s="1"/>
  <c r="N208" i="1"/>
  <c r="O208" i="1" s="1"/>
  <c r="P208" i="1" s="1"/>
  <c r="N209" i="1"/>
  <c r="O209" i="1" s="1"/>
  <c r="P209" i="1" s="1"/>
  <c r="N210" i="1"/>
  <c r="O210" i="1" s="1"/>
  <c r="P210" i="1" s="1"/>
  <c r="N211" i="1"/>
  <c r="O211" i="1" s="1"/>
  <c r="P211" i="1" s="1"/>
  <c r="N212" i="1"/>
  <c r="O212" i="1" s="1"/>
  <c r="P212" i="1" s="1"/>
  <c r="N213" i="1"/>
  <c r="O213" i="1" s="1"/>
  <c r="P213" i="1" s="1"/>
  <c r="N214" i="1"/>
  <c r="O214" i="1" s="1"/>
  <c r="P214" i="1" s="1"/>
  <c r="N215" i="1"/>
  <c r="O215" i="1" s="1"/>
  <c r="P215" i="1" s="1"/>
  <c r="N216" i="1"/>
  <c r="O216" i="1" s="1"/>
  <c r="P216" i="1" s="1"/>
  <c r="N217" i="1"/>
  <c r="O217" i="1" s="1"/>
  <c r="P217" i="1" s="1"/>
  <c r="N218" i="1"/>
  <c r="O218" i="1" s="1"/>
  <c r="P218" i="1" s="1"/>
  <c r="N219" i="1"/>
  <c r="O219" i="1" s="1"/>
  <c r="P219" i="1" s="1"/>
  <c r="N220" i="1"/>
  <c r="O220" i="1" s="1"/>
  <c r="P220" i="1" s="1"/>
  <c r="N221" i="1"/>
  <c r="O221" i="1" s="1"/>
  <c r="P221" i="1" s="1"/>
  <c r="N222" i="1"/>
  <c r="O222" i="1" s="1"/>
  <c r="P222" i="1" s="1"/>
  <c r="N223" i="1"/>
  <c r="O223" i="1" s="1"/>
  <c r="P223" i="1" s="1"/>
  <c r="N224" i="1"/>
  <c r="O224" i="1" s="1"/>
  <c r="P224" i="1" s="1"/>
  <c r="N225" i="1"/>
  <c r="O225" i="1" s="1"/>
  <c r="P225" i="1" s="1"/>
  <c r="N226" i="1"/>
  <c r="O226" i="1" s="1"/>
  <c r="P226" i="1" s="1"/>
  <c r="N227" i="1"/>
  <c r="O227" i="1" s="1"/>
  <c r="P227" i="1" s="1"/>
  <c r="N228" i="1"/>
  <c r="O228" i="1" s="1"/>
  <c r="P228" i="1" s="1"/>
  <c r="N229" i="1"/>
  <c r="O229" i="1" s="1"/>
  <c r="P229" i="1" s="1"/>
  <c r="N230" i="1"/>
  <c r="O230" i="1" s="1"/>
  <c r="P230" i="1" s="1"/>
  <c r="N231" i="1"/>
  <c r="O231" i="1" s="1"/>
  <c r="P231" i="1" s="1"/>
  <c r="N232" i="1"/>
  <c r="O232" i="1" s="1"/>
  <c r="P232" i="1" s="1"/>
  <c r="N233" i="1"/>
  <c r="O233" i="1" s="1"/>
  <c r="P233" i="1" s="1"/>
  <c r="N234" i="1"/>
  <c r="O234" i="1" s="1"/>
  <c r="P234" i="1" s="1"/>
  <c r="N235" i="1"/>
  <c r="O235" i="1" s="1"/>
  <c r="P235" i="1" s="1"/>
  <c r="N236" i="1"/>
  <c r="O236" i="1" s="1"/>
  <c r="P236" i="1" s="1"/>
  <c r="N237" i="1"/>
  <c r="O237" i="1" s="1"/>
  <c r="P237" i="1" s="1"/>
  <c r="N238" i="1"/>
  <c r="O238" i="1" s="1"/>
  <c r="P238" i="1" s="1"/>
  <c r="N239" i="1"/>
  <c r="O239" i="1" s="1"/>
  <c r="P239" i="1" s="1"/>
  <c r="N240" i="1"/>
  <c r="O240" i="1" s="1"/>
  <c r="P240" i="1" s="1"/>
  <c r="N241" i="1"/>
  <c r="O241" i="1" s="1"/>
  <c r="P241" i="1" s="1"/>
  <c r="N242" i="1"/>
  <c r="O242" i="1" s="1"/>
  <c r="P242" i="1" s="1"/>
  <c r="N243" i="1"/>
  <c r="O243" i="1" s="1"/>
  <c r="P243" i="1" s="1"/>
  <c r="N244" i="1"/>
  <c r="O244" i="1" s="1"/>
  <c r="P244" i="1" s="1"/>
  <c r="N245" i="1"/>
  <c r="O245" i="1" s="1"/>
  <c r="P245" i="1" s="1"/>
  <c r="N246" i="1"/>
  <c r="O246" i="1" s="1"/>
  <c r="P246" i="1" s="1"/>
  <c r="N247" i="1"/>
  <c r="O247" i="1" s="1"/>
  <c r="P247" i="1" s="1"/>
  <c r="N248" i="1"/>
  <c r="O248" i="1" s="1"/>
  <c r="P248" i="1" s="1"/>
  <c r="N249" i="1"/>
  <c r="O249" i="1" s="1"/>
  <c r="P249" i="1" s="1"/>
  <c r="N250" i="1"/>
  <c r="O250" i="1" s="1"/>
  <c r="P250" i="1" s="1"/>
  <c r="N251" i="1"/>
  <c r="O251" i="1" s="1"/>
  <c r="P251" i="1" s="1"/>
  <c r="N252" i="1"/>
  <c r="O252" i="1" s="1"/>
  <c r="P252" i="1" s="1"/>
  <c r="N253" i="1"/>
  <c r="O253" i="1" s="1"/>
  <c r="P253" i="1" s="1"/>
  <c r="N254" i="1"/>
  <c r="O254" i="1" s="1"/>
  <c r="P254" i="1" s="1"/>
  <c r="N255" i="1"/>
  <c r="O255" i="1" s="1"/>
  <c r="P255" i="1" s="1"/>
  <c r="N256" i="1"/>
  <c r="O256" i="1" s="1"/>
  <c r="P256" i="1" s="1"/>
  <c r="N257" i="1"/>
  <c r="O257" i="1" s="1"/>
  <c r="P257" i="1" s="1"/>
  <c r="N258" i="1"/>
  <c r="O258" i="1" s="1"/>
  <c r="P258" i="1" s="1"/>
  <c r="N259" i="1"/>
  <c r="O259" i="1" s="1"/>
  <c r="P259" i="1" s="1"/>
  <c r="N260" i="1"/>
  <c r="O260" i="1" s="1"/>
  <c r="P260" i="1" s="1"/>
  <c r="N261" i="1"/>
  <c r="O261" i="1" s="1"/>
  <c r="P261" i="1" s="1"/>
  <c r="N262" i="1"/>
  <c r="O262" i="1" s="1"/>
  <c r="P262" i="1" s="1"/>
  <c r="N263" i="1"/>
  <c r="O263" i="1" s="1"/>
  <c r="P263" i="1" s="1"/>
  <c r="N264" i="1"/>
  <c r="O264" i="1" s="1"/>
  <c r="P264" i="1" s="1"/>
  <c r="N265" i="1"/>
  <c r="O265" i="1" s="1"/>
  <c r="P265" i="1" s="1"/>
  <c r="N266" i="1"/>
  <c r="O266" i="1" s="1"/>
  <c r="P266" i="1" s="1"/>
  <c r="N267" i="1"/>
  <c r="O267" i="1" s="1"/>
  <c r="P267" i="1" s="1"/>
  <c r="N268" i="1"/>
  <c r="O268" i="1" s="1"/>
  <c r="P268" i="1" s="1"/>
  <c r="N269" i="1"/>
  <c r="O269" i="1" s="1"/>
  <c r="P269" i="1" s="1"/>
  <c r="N270" i="1"/>
  <c r="O270" i="1" s="1"/>
  <c r="P270" i="1" s="1"/>
  <c r="N271" i="1"/>
  <c r="O271" i="1" s="1"/>
  <c r="P271" i="1" s="1"/>
  <c r="N272" i="1"/>
  <c r="O272" i="1" s="1"/>
  <c r="P272" i="1" s="1"/>
  <c r="N273" i="1"/>
  <c r="O273" i="1" s="1"/>
  <c r="P273" i="1" s="1"/>
  <c r="N274" i="1"/>
  <c r="O274" i="1" s="1"/>
  <c r="P274" i="1" s="1"/>
  <c r="N275" i="1"/>
  <c r="O275" i="1" s="1"/>
  <c r="P275" i="1" s="1"/>
  <c r="N276" i="1"/>
  <c r="O276" i="1" s="1"/>
  <c r="P276" i="1" s="1"/>
  <c r="N277" i="1"/>
  <c r="O277" i="1" s="1"/>
  <c r="P277" i="1" s="1"/>
  <c r="N278" i="1"/>
  <c r="O278" i="1" s="1"/>
  <c r="P278" i="1" s="1"/>
  <c r="N279" i="1"/>
  <c r="O279" i="1" s="1"/>
  <c r="P279" i="1" s="1"/>
  <c r="N280" i="1"/>
  <c r="O280" i="1" s="1"/>
  <c r="P280" i="1" s="1"/>
  <c r="N281" i="1"/>
  <c r="O281" i="1" s="1"/>
  <c r="P281" i="1" s="1"/>
  <c r="N282" i="1"/>
  <c r="O282" i="1" s="1"/>
  <c r="P282" i="1" s="1"/>
  <c r="N283" i="1"/>
  <c r="O283" i="1" s="1"/>
  <c r="P283" i="1" s="1"/>
  <c r="N284" i="1"/>
  <c r="O284" i="1" s="1"/>
  <c r="P284" i="1" s="1"/>
  <c r="N285" i="1"/>
  <c r="O285" i="1" s="1"/>
  <c r="P285" i="1" s="1"/>
  <c r="N286" i="1"/>
  <c r="O286" i="1" s="1"/>
  <c r="P286" i="1" s="1"/>
  <c r="N287" i="1"/>
  <c r="O287" i="1" s="1"/>
  <c r="P287" i="1" s="1"/>
  <c r="N288" i="1"/>
  <c r="O288" i="1" s="1"/>
  <c r="P288" i="1" s="1"/>
  <c r="N289" i="1"/>
  <c r="O289" i="1" s="1"/>
  <c r="P289" i="1" s="1"/>
  <c r="N290" i="1"/>
  <c r="O290" i="1" s="1"/>
  <c r="P290" i="1" s="1"/>
  <c r="N291" i="1"/>
  <c r="O291" i="1" s="1"/>
  <c r="P291" i="1" s="1"/>
  <c r="N292" i="1"/>
  <c r="O292" i="1" s="1"/>
  <c r="P292" i="1" s="1"/>
  <c r="N293" i="1"/>
  <c r="O293" i="1" s="1"/>
  <c r="P293" i="1" s="1"/>
  <c r="N294" i="1"/>
  <c r="O294" i="1" s="1"/>
  <c r="P294" i="1" s="1"/>
  <c r="N295" i="1"/>
  <c r="O295" i="1" s="1"/>
  <c r="P295" i="1" s="1"/>
  <c r="N296" i="1"/>
  <c r="O296" i="1" s="1"/>
  <c r="P296" i="1" s="1"/>
  <c r="N297" i="1"/>
  <c r="O297" i="1" s="1"/>
  <c r="P297" i="1" s="1"/>
  <c r="N298" i="1"/>
  <c r="O298" i="1" s="1"/>
  <c r="P298" i="1" s="1"/>
  <c r="N299" i="1"/>
  <c r="O299" i="1" s="1"/>
  <c r="P299" i="1" s="1"/>
  <c r="N300" i="1"/>
  <c r="O300" i="1" s="1"/>
  <c r="P300" i="1" s="1"/>
  <c r="N301" i="1"/>
  <c r="O301" i="1" s="1"/>
  <c r="P301" i="1" s="1"/>
  <c r="N302" i="1"/>
  <c r="O302" i="1" s="1"/>
  <c r="P302" i="1" s="1"/>
  <c r="N303" i="1"/>
  <c r="O303" i="1" s="1"/>
  <c r="P303" i="1" s="1"/>
  <c r="N304" i="1"/>
  <c r="O304" i="1" s="1"/>
  <c r="P304" i="1" s="1"/>
  <c r="N305" i="1"/>
  <c r="O305" i="1" s="1"/>
  <c r="P305" i="1" s="1"/>
  <c r="N306" i="1"/>
  <c r="O306" i="1" s="1"/>
  <c r="P306" i="1" s="1"/>
  <c r="N307" i="1"/>
  <c r="O307" i="1" s="1"/>
  <c r="P307" i="1" s="1"/>
  <c r="N308" i="1"/>
  <c r="O308" i="1" s="1"/>
  <c r="P308" i="1" s="1"/>
  <c r="N309" i="1"/>
  <c r="O309" i="1" s="1"/>
  <c r="P309" i="1" s="1"/>
  <c r="N310" i="1"/>
  <c r="O310" i="1" s="1"/>
  <c r="P310" i="1" s="1"/>
  <c r="N311" i="1"/>
  <c r="O311" i="1" s="1"/>
  <c r="P311" i="1" s="1"/>
  <c r="N312" i="1"/>
  <c r="O312" i="1" s="1"/>
  <c r="P312" i="1" s="1"/>
  <c r="N313" i="1"/>
  <c r="O313" i="1" s="1"/>
  <c r="P313" i="1" s="1"/>
  <c r="N314" i="1"/>
  <c r="O314" i="1" s="1"/>
  <c r="P314" i="1" s="1"/>
  <c r="N315" i="1"/>
  <c r="O315" i="1" s="1"/>
  <c r="P315" i="1" s="1"/>
  <c r="N316" i="1"/>
  <c r="O316" i="1" s="1"/>
  <c r="P316" i="1" s="1"/>
  <c r="N317" i="1"/>
  <c r="O317" i="1" s="1"/>
  <c r="P317" i="1" s="1"/>
  <c r="N318" i="1"/>
  <c r="O318" i="1" s="1"/>
  <c r="P318" i="1" s="1"/>
  <c r="N319" i="1"/>
  <c r="O319" i="1" s="1"/>
  <c r="P319" i="1" s="1"/>
  <c r="N320" i="1"/>
  <c r="O320" i="1" s="1"/>
  <c r="P320" i="1" s="1"/>
  <c r="N321" i="1"/>
  <c r="O321" i="1" s="1"/>
  <c r="P321" i="1" s="1"/>
  <c r="N322" i="1"/>
  <c r="O322" i="1" s="1"/>
  <c r="P322" i="1" s="1"/>
  <c r="N323" i="1"/>
  <c r="O323" i="1" s="1"/>
  <c r="P323" i="1" s="1"/>
  <c r="N324" i="1"/>
  <c r="O324" i="1" s="1"/>
  <c r="P324" i="1" s="1"/>
  <c r="N325" i="1"/>
  <c r="O325" i="1" s="1"/>
  <c r="P325" i="1" s="1"/>
  <c r="N326" i="1"/>
  <c r="O326" i="1" s="1"/>
  <c r="P326" i="1" s="1"/>
  <c r="N2" i="1"/>
  <c r="O2" i="1" s="1"/>
  <c r="P2" i="1" s="1"/>
  <c r="V13" i="1" l="1"/>
  <c r="V11" i="1"/>
  <c r="R38" i="1"/>
  <c r="R102" i="1"/>
  <c r="R166" i="1"/>
  <c r="R230" i="1"/>
  <c r="R98" i="1"/>
  <c r="R242" i="1"/>
  <c r="R42" i="1"/>
  <c r="R106" i="1"/>
  <c r="R170" i="1"/>
  <c r="R234" i="1"/>
  <c r="R298" i="1"/>
  <c r="R336" i="1"/>
  <c r="R2" i="1"/>
  <c r="R130" i="1"/>
  <c r="R62" i="1"/>
  <c r="R126" i="1"/>
  <c r="R190" i="1"/>
  <c r="R254" i="1"/>
  <c r="R318" i="1"/>
  <c r="R332" i="1"/>
  <c r="R337" i="1"/>
  <c r="R342" i="1"/>
  <c r="R346" i="1"/>
  <c r="R350" i="1"/>
  <c r="R354" i="1"/>
  <c r="R358" i="1"/>
  <c r="R362" i="1"/>
  <c r="R366" i="1"/>
  <c r="R370" i="1"/>
  <c r="R374" i="1"/>
  <c r="R378" i="1"/>
  <c r="R390" i="1"/>
  <c r="R398" i="1"/>
  <c r="R410" i="1"/>
  <c r="R414" i="1"/>
  <c r="R422" i="1"/>
  <c r="R426" i="1"/>
  <c r="R430" i="1"/>
  <c r="R438" i="1"/>
  <c r="R442" i="1"/>
  <c r="R450" i="1"/>
  <c r="R454" i="1"/>
  <c r="R458" i="1"/>
  <c r="R462" i="1"/>
  <c r="R470" i="1"/>
  <c r="R474" i="1"/>
  <c r="R486" i="1"/>
  <c r="R490" i="1"/>
  <c r="R114" i="1"/>
  <c r="R359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2" i="1"/>
  <c r="M317" i="1" l="1"/>
  <c r="L317" i="1"/>
  <c r="M305" i="1"/>
  <c r="L305" i="1"/>
  <c r="M293" i="1"/>
  <c r="L293" i="1"/>
  <c r="M281" i="1"/>
  <c r="L281" i="1"/>
  <c r="M265" i="1"/>
  <c r="L265" i="1"/>
  <c r="M257" i="1"/>
  <c r="L257" i="1"/>
  <c r="M237" i="1"/>
  <c r="L237" i="1"/>
  <c r="M225" i="1"/>
  <c r="L225" i="1"/>
  <c r="M217" i="1"/>
  <c r="L217" i="1"/>
  <c r="M205" i="1"/>
  <c r="L205" i="1"/>
  <c r="M197" i="1"/>
  <c r="L197" i="1"/>
  <c r="M185" i="1"/>
  <c r="L185" i="1"/>
  <c r="M173" i="1"/>
  <c r="L173" i="1"/>
  <c r="M161" i="1"/>
  <c r="L161" i="1"/>
  <c r="M149" i="1"/>
  <c r="L149" i="1"/>
  <c r="M137" i="1"/>
  <c r="L137" i="1"/>
  <c r="M117" i="1"/>
  <c r="L117" i="1"/>
  <c r="M109" i="1"/>
  <c r="L109" i="1"/>
  <c r="M97" i="1"/>
  <c r="L97" i="1"/>
  <c r="M85" i="1"/>
  <c r="L85" i="1"/>
  <c r="M77" i="1"/>
  <c r="L77" i="1"/>
  <c r="M69" i="1"/>
  <c r="L69" i="1"/>
  <c r="M57" i="1"/>
  <c r="L57" i="1"/>
  <c r="M45" i="1"/>
  <c r="L45" i="1"/>
  <c r="M33" i="1"/>
  <c r="L33" i="1"/>
  <c r="M21" i="1"/>
  <c r="L21" i="1"/>
  <c r="M9" i="1"/>
  <c r="L9" i="1"/>
  <c r="M316" i="1"/>
  <c r="L316" i="1"/>
  <c r="M304" i="1"/>
  <c r="L304" i="1"/>
  <c r="M296" i="1"/>
  <c r="L296" i="1"/>
  <c r="M284" i="1"/>
  <c r="L284" i="1"/>
  <c r="M276" i="1"/>
  <c r="L276" i="1"/>
  <c r="M264" i="1"/>
  <c r="L264" i="1"/>
  <c r="M2" i="1"/>
  <c r="L2" i="1"/>
  <c r="M319" i="1"/>
  <c r="L319" i="1"/>
  <c r="M311" i="1"/>
  <c r="L311" i="1"/>
  <c r="M299" i="1"/>
  <c r="L299" i="1"/>
  <c r="M295" i="1"/>
  <c r="L295" i="1"/>
  <c r="M287" i="1"/>
  <c r="L287" i="1"/>
  <c r="M279" i="1"/>
  <c r="L279" i="1"/>
  <c r="M271" i="1"/>
  <c r="L271" i="1"/>
  <c r="M263" i="1"/>
  <c r="L263" i="1"/>
  <c r="M255" i="1"/>
  <c r="L255" i="1"/>
  <c r="M251" i="1"/>
  <c r="L251" i="1"/>
  <c r="M239" i="1"/>
  <c r="L239" i="1"/>
  <c r="M231" i="1"/>
  <c r="L231" i="1"/>
  <c r="M223" i="1"/>
  <c r="L223" i="1"/>
  <c r="M326" i="1"/>
  <c r="L326" i="1"/>
  <c r="M322" i="1"/>
  <c r="L322" i="1"/>
  <c r="M318" i="1"/>
  <c r="L318" i="1"/>
  <c r="M314" i="1"/>
  <c r="L314" i="1"/>
  <c r="M310" i="1"/>
  <c r="L310" i="1"/>
  <c r="M306" i="1"/>
  <c r="L306" i="1"/>
  <c r="M302" i="1"/>
  <c r="L302" i="1"/>
  <c r="M298" i="1"/>
  <c r="L298" i="1"/>
  <c r="L294" i="1"/>
  <c r="M294" i="1"/>
  <c r="M290" i="1"/>
  <c r="L290" i="1"/>
  <c r="L286" i="1"/>
  <c r="M286" i="1"/>
  <c r="M282" i="1"/>
  <c r="L282" i="1"/>
  <c r="M278" i="1"/>
  <c r="L278" i="1"/>
  <c r="M274" i="1"/>
  <c r="L274" i="1"/>
  <c r="M270" i="1"/>
  <c r="L270" i="1"/>
  <c r="M266" i="1"/>
  <c r="L266" i="1"/>
  <c r="L262" i="1"/>
  <c r="M262" i="1"/>
  <c r="M258" i="1"/>
  <c r="L258" i="1"/>
  <c r="L254" i="1"/>
  <c r="M254" i="1"/>
  <c r="M250" i="1"/>
  <c r="L250" i="1"/>
  <c r="L246" i="1"/>
  <c r="M246" i="1"/>
  <c r="M242" i="1"/>
  <c r="L242" i="1"/>
  <c r="L238" i="1"/>
  <c r="M238" i="1"/>
  <c r="M234" i="1"/>
  <c r="L234" i="1"/>
  <c r="L230" i="1"/>
  <c r="M230" i="1"/>
  <c r="M226" i="1"/>
  <c r="L226" i="1"/>
  <c r="L222" i="1"/>
  <c r="M222" i="1"/>
  <c r="M218" i="1"/>
  <c r="L218" i="1"/>
  <c r="L214" i="1"/>
  <c r="M214" i="1"/>
  <c r="M210" i="1"/>
  <c r="L210" i="1"/>
  <c r="L206" i="1"/>
  <c r="M206" i="1"/>
  <c r="M202" i="1"/>
  <c r="L202" i="1"/>
  <c r="L198" i="1"/>
  <c r="M198" i="1"/>
  <c r="M194" i="1"/>
  <c r="L194" i="1"/>
  <c r="L190" i="1"/>
  <c r="M190" i="1"/>
  <c r="M186" i="1"/>
  <c r="L186" i="1"/>
  <c r="L182" i="1"/>
  <c r="M182" i="1"/>
  <c r="M178" i="1"/>
  <c r="L178" i="1"/>
  <c r="L174" i="1"/>
  <c r="M174" i="1"/>
  <c r="M170" i="1"/>
  <c r="L170" i="1"/>
  <c r="L166" i="1"/>
  <c r="M166" i="1"/>
  <c r="M162" i="1"/>
  <c r="L162" i="1"/>
  <c r="L158" i="1"/>
  <c r="M158" i="1"/>
  <c r="M154" i="1"/>
  <c r="L154" i="1"/>
  <c r="L150" i="1"/>
  <c r="M150" i="1"/>
  <c r="M146" i="1"/>
  <c r="L146" i="1"/>
  <c r="L142" i="1"/>
  <c r="M142" i="1"/>
  <c r="M138" i="1"/>
  <c r="L138" i="1"/>
  <c r="L134" i="1"/>
  <c r="M134" i="1"/>
  <c r="M130" i="1"/>
  <c r="L130" i="1"/>
  <c r="L126" i="1"/>
  <c r="M126" i="1"/>
  <c r="M122" i="1"/>
  <c r="L122" i="1"/>
  <c r="L118" i="1"/>
  <c r="M118" i="1"/>
  <c r="M114" i="1"/>
  <c r="L114" i="1"/>
  <c r="L110" i="1"/>
  <c r="M110" i="1"/>
  <c r="M106" i="1"/>
  <c r="L106" i="1"/>
  <c r="L102" i="1"/>
  <c r="M102" i="1"/>
  <c r="M98" i="1"/>
  <c r="L98" i="1"/>
  <c r="L94" i="1"/>
  <c r="M94" i="1"/>
  <c r="M90" i="1"/>
  <c r="L90" i="1"/>
  <c r="L86" i="1"/>
  <c r="M86" i="1"/>
  <c r="M82" i="1"/>
  <c r="L82" i="1"/>
  <c r="L78" i="1"/>
  <c r="M78" i="1"/>
  <c r="M74" i="1"/>
  <c r="L74" i="1"/>
  <c r="L70" i="1"/>
  <c r="M70" i="1"/>
  <c r="M66" i="1"/>
  <c r="L66" i="1"/>
  <c r="L62" i="1"/>
  <c r="M62" i="1"/>
  <c r="M58" i="1"/>
  <c r="L58" i="1"/>
  <c r="L54" i="1"/>
  <c r="M54" i="1"/>
  <c r="M50" i="1"/>
  <c r="L50" i="1"/>
  <c r="L46" i="1"/>
  <c r="M46" i="1"/>
  <c r="M42" i="1"/>
  <c r="L42" i="1"/>
  <c r="L38" i="1"/>
  <c r="M38" i="1"/>
  <c r="M34" i="1"/>
  <c r="L34" i="1"/>
  <c r="L30" i="1"/>
  <c r="M30" i="1"/>
  <c r="M26" i="1"/>
  <c r="L26" i="1"/>
  <c r="L22" i="1"/>
  <c r="M22" i="1"/>
  <c r="M18" i="1"/>
  <c r="L18" i="1"/>
  <c r="L14" i="1"/>
  <c r="M14" i="1"/>
  <c r="M10" i="1"/>
  <c r="L10" i="1"/>
  <c r="L6" i="1"/>
  <c r="M6" i="1"/>
  <c r="M313" i="1"/>
  <c r="L313" i="1"/>
  <c r="M301" i="1"/>
  <c r="L301" i="1"/>
  <c r="M289" i="1"/>
  <c r="L289" i="1"/>
  <c r="M277" i="1"/>
  <c r="L277" i="1"/>
  <c r="M261" i="1"/>
  <c r="L261" i="1"/>
  <c r="M253" i="1"/>
  <c r="L253" i="1"/>
  <c r="M245" i="1"/>
  <c r="L245" i="1"/>
  <c r="M233" i="1"/>
  <c r="L233" i="1"/>
  <c r="M221" i="1"/>
  <c r="L221" i="1"/>
  <c r="M209" i="1"/>
  <c r="L209" i="1"/>
  <c r="M193" i="1"/>
  <c r="L193" i="1"/>
  <c r="M181" i="1"/>
  <c r="L181" i="1"/>
  <c r="M169" i="1"/>
  <c r="L169" i="1"/>
  <c r="M157" i="1"/>
  <c r="L157" i="1"/>
  <c r="M145" i="1"/>
  <c r="L145" i="1"/>
  <c r="M133" i="1"/>
  <c r="L133" i="1"/>
  <c r="M125" i="1"/>
  <c r="L125" i="1"/>
  <c r="M105" i="1"/>
  <c r="L105" i="1"/>
  <c r="M93" i="1"/>
  <c r="L93" i="1"/>
  <c r="M81" i="1"/>
  <c r="L81" i="1"/>
  <c r="M65" i="1"/>
  <c r="L65" i="1"/>
  <c r="M53" i="1"/>
  <c r="L53" i="1"/>
  <c r="M41" i="1"/>
  <c r="L41" i="1"/>
  <c r="M37" i="1"/>
  <c r="L37" i="1"/>
  <c r="M25" i="1"/>
  <c r="L25" i="1"/>
  <c r="M13" i="1"/>
  <c r="L13" i="1"/>
  <c r="M320" i="1"/>
  <c r="L320" i="1"/>
  <c r="M308" i="1"/>
  <c r="L308" i="1"/>
  <c r="M292" i="1"/>
  <c r="L292" i="1"/>
  <c r="M272" i="1"/>
  <c r="L272" i="1"/>
  <c r="M260" i="1"/>
  <c r="L260" i="1"/>
  <c r="M252" i="1"/>
  <c r="L252" i="1"/>
  <c r="M248" i="1"/>
  <c r="L248" i="1"/>
  <c r="M244" i="1"/>
  <c r="L244" i="1"/>
  <c r="M240" i="1"/>
  <c r="L240" i="1"/>
  <c r="M236" i="1"/>
  <c r="L236" i="1"/>
  <c r="M232" i="1"/>
  <c r="L232" i="1"/>
  <c r="M228" i="1"/>
  <c r="L228" i="1"/>
  <c r="M224" i="1"/>
  <c r="L224" i="1"/>
  <c r="M220" i="1"/>
  <c r="L220" i="1"/>
  <c r="M216" i="1"/>
  <c r="L216" i="1"/>
  <c r="M212" i="1"/>
  <c r="L212" i="1"/>
  <c r="M208" i="1"/>
  <c r="L208" i="1"/>
  <c r="M204" i="1"/>
  <c r="L204" i="1"/>
  <c r="M200" i="1"/>
  <c r="L200" i="1"/>
  <c r="M196" i="1"/>
  <c r="L196" i="1"/>
  <c r="M192" i="1"/>
  <c r="L192" i="1"/>
  <c r="M188" i="1"/>
  <c r="L188" i="1"/>
  <c r="M184" i="1"/>
  <c r="L184" i="1"/>
  <c r="M180" i="1"/>
  <c r="L180" i="1"/>
  <c r="M176" i="1"/>
  <c r="L176" i="1"/>
  <c r="M172" i="1"/>
  <c r="L172" i="1"/>
  <c r="M168" i="1"/>
  <c r="L168" i="1"/>
  <c r="M164" i="1"/>
  <c r="L164" i="1"/>
  <c r="M160" i="1"/>
  <c r="L160" i="1"/>
  <c r="M156" i="1"/>
  <c r="L156" i="1"/>
  <c r="M152" i="1"/>
  <c r="L152" i="1"/>
  <c r="M148" i="1"/>
  <c r="L148" i="1"/>
  <c r="M144" i="1"/>
  <c r="L144" i="1"/>
  <c r="M140" i="1"/>
  <c r="L140" i="1"/>
  <c r="M136" i="1"/>
  <c r="L136" i="1"/>
  <c r="M132" i="1"/>
  <c r="L132" i="1"/>
  <c r="M128" i="1"/>
  <c r="L128" i="1"/>
  <c r="M124" i="1"/>
  <c r="L124" i="1"/>
  <c r="M120" i="1"/>
  <c r="L120" i="1"/>
  <c r="M116" i="1"/>
  <c r="L116" i="1"/>
  <c r="M112" i="1"/>
  <c r="L112" i="1"/>
  <c r="M108" i="1"/>
  <c r="L108" i="1"/>
  <c r="M104" i="1"/>
  <c r="L104" i="1"/>
  <c r="M100" i="1"/>
  <c r="L100" i="1"/>
  <c r="M96" i="1"/>
  <c r="L96" i="1"/>
  <c r="M92" i="1"/>
  <c r="L92" i="1"/>
  <c r="M88" i="1"/>
  <c r="L88" i="1"/>
  <c r="M84" i="1"/>
  <c r="L84" i="1"/>
  <c r="M80" i="1"/>
  <c r="L80" i="1"/>
  <c r="M76" i="1"/>
  <c r="L76" i="1"/>
  <c r="M72" i="1"/>
  <c r="L72" i="1"/>
  <c r="M68" i="1"/>
  <c r="L68" i="1"/>
  <c r="M64" i="1"/>
  <c r="L64" i="1"/>
  <c r="M60" i="1"/>
  <c r="L60" i="1"/>
  <c r="M56" i="1"/>
  <c r="L56" i="1"/>
  <c r="M52" i="1"/>
  <c r="L52" i="1"/>
  <c r="M48" i="1"/>
  <c r="L48" i="1"/>
  <c r="M44" i="1"/>
  <c r="L44" i="1"/>
  <c r="M40" i="1"/>
  <c r="L40" i="1"/>
  <c r="M36" i="1"/>
  <c r="L36" i="1"/>
  <c r="M32" i="1"/>
  <c r="L32" i="1"/>
  <c r="M28" i="1"/>
  <c r="L28" i="1"/>
  <c r="M24" i="1"/>
  <c r="L24" i="1"/>
  <c r="M20" i="1"/>
  <c r="L20" i="1"/>
  <c r="M16" i="1"/>
  <c r="L16" i="1"/>
  <c r="M12" i="1"/>
  <c r="L12" i="1"/>
  <c r="M8" i="1"/>
  <c r="L8" i="1"/>
  <c r="M4" i="1"/>
  <c r="L4" i="1"/>
  <c r="M325" i="1"/>
  <c r="L325" i="1"/>
  <c r="M321" i="1"/>
  <c r="L321" i="1"/>
  <c r="M309" i="1"/>
  <c r="L309" i="1"/>
  <c r="M297" i="1"/>
  <c r="L297" i="1"/>
  <c r="M285" i="1"/>
  <c r="L285" i="1"/>
  <c r="M273" i="1"/>
  <c r="L273" i="1"/>
  <c r="M269" i="1"/>
  <c r="L269" i="1"/>
  <c r="M249" i="1"/>
  <c r="L249" i="1"/>
  <c r="M241" i="1"/>
  <c r="L241" i="1"/>
  <c r="M229" i="1"/>
  <c r="L229" i="1"/>
  <c r="M213" i="1"/>
  <c r="L213" i="1"/>
  <c r="M201" i="1"/>
  <c r="L201" i="1"/>
  <c r="M189" i="1"/>
  <c r="L189" i="1"/>
  <c r="M177" i="1"/>
  <c r="L177" i="1"/>
  <c r="M165" i="1"/>
  <c r="L165" i="1"/>
  <c r="M153" i="1"/>
  <c r="L153" i="1"/>
  <c r="M141" i="1"/>
  <c r="L141" i="1"/>
  <c r="M129" i="1"/>
  <c r="L129" i="1"/>
  <c r="M121" i="1"/>
  <c r="L121" i="1"/>
  <c r="M113" i="1"/>
  <c r="L113" i="1"/>
  <c r="M101" i="1"/>
  <c r="L101" i="1"/>
  <c r="M89" i="1"/>
  <c r="L89" i="1"/>
  <c r="M73" i="1"/>
  <c r="L73" i="1"/>
  <c r="M61" i="1"/>
  <c r="L61" i="1"/>
  <c r="M49" i="1"/>
  <c r="L49" i="1"/>
  <c r="M29" i="1"/>
  <c r="L29" i="1"/>
  <c r="M17" i="1"/>
  <c r="L17" i="1"/>
  <c r="M5" i="1"/>
  <c r="L5" i="1"/>
  <c r="M324" i="1"/>
  <c r="L324" i="1"/>
  <c r="M312" i="1"/>
  <c r="L312" i="1"/>
  <c r="M300" i="1"/>
  <c r="L300" i="1"/>
  <c r="M288" i="1"/>
  <c r="L288" i="1"/>
  <c r="M280" i="1"/>
  <c r="L280" i="1"/>
  <c r="M268" i="1"/>
  <c r="L268" i="1"/>
  <c r="M256" i="1"/>
  <c r="L256" i="1"/>
  <c r="M323" i="1"/>
  <c r="L323" i="1"/>
  <c r="M315" i="1"/>
  <c r="L315" i="1"/>
  <c r="M307" i="1"/>
  <c r="L307" i="1"/>
  <c r="M303" i="1"/>
  <c r="L303" i="1"/>
  <c r="M291" i="1"/>
  <c r="L291" i="1"/>
  <c r="M283" i="1"/>
  <c r="L283" i="1"/>
  <c r="M275" i="1"/>
  <c r="L275" i="1"/>
  <c r="M267" i="1"/>
  <c r="L267" i="1"/>
  <c r="M259" i="1"/>
  <c r="L259" i="1"/>
  <c r="M247" i="1"/>
  <c r="L247" i="1"/>
  <c r="M243" i="1"/>
  <c r="L243" i="1"/>
  <c r="M235" i="1"/>
  <c r="L235" i="1"/>
  <c r="M227" i="1"/>
  <c r="L227" i="1"/>
  <c r="M219" i="1"/>
  <c r="L219" i="1"/>
  <c r="M215" i="1"/>
  <c r="L215" i="1"/>
  <c r="M211" i="1"/>
  <c r="L211" i="1"/>
  <c r="M207" i="1"/>
  <c r="L207" i="1"/>
  <c r="M203" i="1"/>
  <c r="L203" i="1"/>
  <c r="M199" i="1"/>
  <c r="L199" i="1"/>
  <c r="M195" i="1"/>
  <c r="L195" i="1"/>
  <c r="M191" i="1"/>
  <c r="L191" i="1"/>
  <c r="M187" i="1"/>
  <c r="L187" i="1"/>
  <c r="M183" i="1"/>
  <c r="L183" i="1"/>
  <c r="M179" i="1"/>
  <c r="L179" i="1"/>
  <c r="M175" i="1"/>
  <c r="L175" i="1"/>
  <c r="M171" i="1"/>
  <c r="L171" i="1"/>
  <c r="M167" i="1"/>
  <c r="L167" i="1"/>
  <c r="M163" i="1"/>
  <c r="L163" i="1"/>
  <c r="M159" i="1"/>
  <c r="L159" i="1"/>
  <c r="M155" i="1"/>
  <c r="L155" i="1"/>
  <c r="M151" i="1"/>
  <c r="L151" i="1"/>
  <c r="M147" i="1"/>
  <c r="L147" i="1"/>
  <c r="M143" i="1"/>
  <c r="L143" i="1"/>
  <c r="M139" i="1"/>
  <c r="L139" i="1"/>
  <c r="M135" i="1"/>
  <c r="L135" i="1"/>
  <c r="M131" i="1"/>
  <c r="L131" i="1"/>
  <c r="M127" i="1"/>
  <c r="L127" i="1"/>
  <c r="M123" i="1"/>
  <c r="L123" i="1"/>
  <c r="M119" i="1"/>
  <c r="L119" i="1"/>
  <c r="M115" i="1"/>
  <c r="L115" i="1"/>
  <c r="M111" i="1"/>
  <c r="L111" i="1"/>
  <c r="M107" i="1"/>
  <c r="L107" i="1"/>
  <c r="M103" i="1"/>
  <c r="L103" i="1"/>
  <c r="M99" i="1"/>
  <c r="L99" i="1"/>
  <c r="M95" i="1"/>
  <c r="L95" i="1"/>
  <c r="M91" i="1"/>
  <c r="L91" i="1"/>
  <c r="M87" i="1"/>
  <c r="L87" i="1"/>
  <c r="M83" i="1"/>
  <c r="L83" i="1"/>
  <c r="M79" i="1"/>
  <c r="L79" i="1"/>
  <c r="M75" i="1"/>
  <c r="L75" i="1"/>
  <c r="M71" i="1"/>
  <c r="L71" i="1"/>
  <c r="M67" i="1"/>
  <c r="L67" i="1"/>
  <c r="M63" i="1"/>
  <c r="L63" i="1"/>
  <c r="M59" i="1"/>
  <c r="L59" i="1"/>
  <c r="M55" i="1"/>
  <c r="L55" i="1"/>
  <c r="M51" i="1"/>
  <c r="L51" i="1"/>
  <c r="M47" i="1"/>
  <c r="L47" i="1"/>
  <c r="M43" i="1"/>
  <c r="L43" i="1"/>
  <c r="M39" i="1"/>
  <c r="L39" i="1"/>
  <c r="M35" i="1"/>
  <c r="L35" i="1"/>
  <c r="M31" i="1"/>
  <c r="L31" i="1"/>
  <c r="M27" i="1"/>
  <c r="L27" i="1"/>
  <c r="M23" i="1"/>
  <c r="L23" i="1"/>
  <c r="M19" i="1"/>
  <c r="L19" i="1"/>
  <c r="M15" i="1"/>
  <c r="L15" i="1"/>
  <c r="M11" i="1"/>
  <c r="L11" i="1"/>
  <c r="M7" i="1"/>
  <c r="L7" i="1"/>
  <c r="M3" i="1"/>
  <c r="L3" i="1"/>
  <c r="R427" i="1"/>
  <c r="R382" i="1"/>
  <c r="R494" i="1"/>
  <c r="R333" i="1"/>
  <c r="R394" i="1"/>
  <c r="R478" i="1"/>
  <c r="R482" i="1"/>
  <c r="R402" i="1"/>
  <c r="R418" i="1"/>
  <c r="R294" i="1"/>
  <c r="R434" i="1"/>
  <c r="R406" i="1"/>
  <c r="R386" i="1"/>
  <c r="R466" i="1"/>
  <c r="R498" i="1"/>
  <c r="R446" i="1"/>
  <c r="R5" i="1"/>
  <c r="R94" i="1"/>
  <c r="R30" i="1"/>
  <c r="R101" i="1"/>
  <c r="R85" i="1"/>
  <c r="R69" i="1"/>
  <c r="R53" i="1"/>
  <c r="R37" i="1"/>
  <c r="R21" i="1"/>
  <c r="R347" i="1"/>
  <c r="R286" i="1"/>
  <c r="R222" i="1"/>
  <c r="R158" i="1"/>
  <c r="R325" i="1"/>
  <c r="R309" i="1"/>
  <c r="R293" i="1"/>
  <c r="R277" i="1"/>
  <c r="R261" i="1"/>
  <c r="R245" i="1"/>
  <c r="R229" i="1"/>
  <c r="R213" i="1"/>
  <c r="R197" i="1"/>
  <c r="R181" i="1"/>
  <c r="R165" i="1"/>
  <c r="R149" i="1"/>
  <c r="R133" i="1"/>
  <c r="R117" i="1"/>
  <c r="R399" i="1"/>
  <c r="R162" i="1"/>
  <c r="R194" i="1"/>
  <c r="R497" i="1"/>
  <c r="R481" i="1"/>
  <c r="R465" i="1"/>
  <c r="R449" i="1"/>
  <c r="R433" i="1"/>
  <c r="R417" i="1"/>
  <c r="R401" i="1"/>
  <c r="R385" i="1"/>
  <c r="R369" i="1"/>
  <c r="R353" i="1"/>
  <c r="R290" i="1"/>
  <c r="R146" i="1"/>
  <c r="R316" i="1"/>
  <c r="R300" i="1"/>
  <c r="R284" i="1"/>
  <c r="R268" i="1"/>
  <c r="R252" i="1"/>
  <c r="R236" i="1"/>
  <c r="R220" i="1"/>
  <c r="R204" i="1"/>
  <c r="R188" i="1"/>
  <c r="R172" i="1"/>
  <c r="R156" i="1"/>
  <c r="R140" i="1"/>
  <c r="R124" i="1"/>
  <c r="R108" i="1"/>
  <c r="R92" i="1"/>
  <c r="R76" i="1"/>
  <c r="R60" i="1"/>
  <c r="R44" i="1"/>
  <c r="R28" i="1"/>
  <c r="R12" i="1"/>
  <c r="R270" i="1"/>
  <c r="R206" i="1"/>
  <c r="R142" i="1"/>
  <c r="R78" i="1"/>
  <c r="R14" i="1"/>
  <c r="R330" i="1"/>
  <c r="R266" i="1"/>
  <c r="R202" i="1"/>
  <c r="R138" i="1"/>
  <c r="R74" i="1"/>
  <c r="R10" i="1"/>
  <c r="R321" i="1"/>
  <c r="R305" i="1"/>
  <c r="R289" i="1"/>
  <c r="R273" i="1"/>
  <c r="R257" i="1"/>
  <c r="R241" i="1"/>
  <c r="R225" i="1"/>
  <c r="R209" i="1"/>
  <c r="R193" i="1"/>
  <c r="R177" i="1"/>
  <c r="R161" i="1"/>
  <c r="R145" i="1"/>
  <c r="R129" i="1"/>
  <c r="R113" i="1"/>
  <c r="R97" i="1"/>
  <c r="R81" i="1"/>
  <c r="R65" i="1"/>
  <c r="R49" i="1"/>
  <c r="R33" i="1"/>
  <c r="R17" i="1"/>
  <c r="R375" i="1"/>
  <c r="R274" i="1"/>
  <c r="R82" i="1"/>
  <c r="R306" i="1"/>
  <c r="R50" i="1"/>
  <c r="R489" i="1"/>
  <c r="R473" i="1"/>
  <c r="R457" i="1"/>
  <c r="R441" i="1"/>
  <c r="R425" i="1"/>
  <c r="R409" i="1"/>
  <c r="R393" i="1"/>
  <c r="R377" i="1"/>
  <c r="R361" i="1"/>
  <c r="R345" i="1"/>
  <c r="R314" i="1"/>
  <c r="R250" i="1"/>
  <c r="R186" i="1"/>
  <c r="R122" i="1"/>
  <c r="R58" i="1"/>
  <c r="R210" i="1"/>
  <c r="R66" i="1"/>
  <c r="R324" i="1"/>
  <c r="R308" i="1"/>
  <c r="R292" i="1"/>
  <c r="R276" i="1"/>
  <c r="R260" i="1"/>
  <c r="R244" i="1"/>
  <c r="R228" i="1"/>
  <c r="R212" i="1"/>
  <c r="R196" i="1"/>
  <c r="R180" i="1"/>
  <c r="R164" i="1"/>
  <c r="R148" i="1"/>
  <c r="R132" i="1"/>
  <c r="R116" i="1"/>
  <c r="R100" i="1"/>
  <c r="R84" i="1"/>
  <c r="R68" i="1"/>
  <c r="R52" i="1"/>
  <c r="R36" i="1"/>
  <c r="R20" i="1"/>
  <c r="R4" i="1"/>
  <c r="R455" i="1"/>
  <c r="R282" i="1"/>
  <c r="R218" i="1"/>
  <c r="R154" i="1"/>
  <c r="R90" i="1"/>
  <c r="R26" i="1"/>
  <c r="R340" i="1"/>
  <c r="R415" i="1"/>
  <c r="R226" i="1"/>
  <c r="R18" i="1"/>
  <c r="R302" i="1"/>
  <c r="R238" i="1"/>
  <c r="R174" i="1"/>
  <c r="R110" i="1"/>
  <c r="R46" i="1"/>
  <c r="R258" i="1"/>
  <c r="R322" i="1"/>
  <c r="R178" i="1"/>
  <c r="R34" i="1"/>
  <c r="R329" i="1"/>
  <c r="R313" i="1"/>
  <c r="R297" i="1"/>
  <c r="R281" i="1"/>
  <c r="R265" i="1"/>
  <c r="R249" i="1"/>
  <c r="R233" i="1"/>
  <c r="R217" i="1"/>
  <c r="R201" i="1"/>
  <c r="R185" i="1"/>
  <c r="R169" i="1"/>
  <c r="R153" i="1"/>
  <c r="R137" i="1"/>
  <c r="R121" i="1"/>
  <c r="R105" i="1"/>
  <c r="R89" i="1"/>
  <c r="R73" i="1"/>
  <c r="R57" i="1"/>
  <c r="R41" i="1"/>
  <c r="R25" i="1"/>
  <c r="R9" i="1"/>
  <c r="R443" i="1"/>
  <c r="R493" i="1"/>
  <c r="R477" i="1"/>
  <c r="R461" i="1"/>
  <c r="R445" i="1"/>
  <c r="R429" i="1"/>
  <c r="R413" i="1"/>
  <c r="R397" i="1"/>
  <c r="R381" i="1"/>
  <c r="R365" i="1"/>
  <c r="R349" i="1"/>
  <c r="R328" i="1"/>
  <c r="R312" i="1"/>
  <c r="R296" i="1"/>
  <c r="R280" i="1"/>
  <c r="R264" i="1"/>
  <c r="R248" i="1"/>
  <c r="R232" i="1"/>
  <c r="R216" i="1"/>
  <c r="R200" i="1"/>
  <c r="R184" i="1"/>
  <c r="R168" i="1"/>
  <c r="R152" i="1"/>
  <c r="R136" i="1"/>
  <c r="R120" i="1"/>
  <c r="R104" i="1"/>
  <c r="R88" i="1"/>
  <c r="R72" i="1"/>
  <c r="R56" i="1"/>
  <c r="R40" i="1"/>
  <c r="R24" i="1"/>
  <c r="R8" i="1"/>
  <c r="R463" i="1"/>
  <c r="R407" i="1"/>
  <c r="R475" i="1"/>
  <c r="R439" i="1"/>
  <c r="R363" i="1"/>
  <c r="R484" i="1"/>
  <c r="R468" i="1"/>
  <c r="R452" i="1"/>
  <c r="R436" i="1"/>
  <c r="R420" i="1"/>
  <c r="R388" i="1"/>
  <c r="R372" i="1"/>
  <c r="R335" i="1"/>
  <c r="R319" i="1"/>
  <c r="R303" i="1"/>
  <c r="R271" i="1"/>
  <c r="R255" i="1"/>
  <c r="R239" i="1"/>
  <c r="R207" i="1"/>
  <c r="R191" i="1"/>
  <c r="R175" i="1"/>
  <c r="R143" i="1"/>
  <c r="R127" i="1"/>
  <c r="R111" i="1"/>
  <c r="R79" i="1"/>
  <c r="R63" i="1"/>
  <c r="R47" i="1"/>
  <c r="R15" i="1"/>
  <c r="R355" i="1"/>
  <c r="R403" i="1"/>
  <c r="R404" i="1"/>
  <c r="R356" i="1"/>
  <c r="R287" i="1"/>
  <c r="R223" i="1"/>
  <c r="R159" i="1"/>
  <c r="R95" i="1"/>
  <c r="R31" i="1"/>
  <c r="R387" i="1"/>
  <c r="R451" i="1"/>
  <c r="R395" i="1"/>
  <c r="R343" i="1"/>
  <c r="R471" i="1"/>
  <c r="R431" i="1"/>
  <c r="R391" i="1"/>
  <c r="R351" i="1"/>
  <c r="R496" i="1"/>
  <c r="R480" i="1"/>
  <c r="R464" i="1"/>
  <c r="R448" i="1"/>
  <c r="R432" i="1"/>
  <c r="R416" i="1"/>
  <c r="R400" i="1"/>
  <c r="R384" i="1"/>
  <c r="R368" i="1"/>
  <c r="R352" i="1"/>
  <c r="R334" i="1"/>
  <c r="R278" i="1"/>
  <c r="R214" i="1"/>
  <c r="R150" i="1"/>
  <c r="R86" i="1"/>
  <c r="R22" i="1"/>
  <c r="R331" i="1"/>
  <c r="R315" i="1"/>
  <c r="R299" i="1"/>
  <c r="R283" i="1"/>
  <c r="R267" i="1"/>
  <c r="R251" i="1"/>
  <c r="R235" i="1"/>
  <c r="R219" i="1"/>
  <c r="R203" i="1"/>
  <c r="R187" i="1"/>
  <c r="R171" i="1"/>
  <c r="R155" i="1"/>
  <c r="R139" i="1"/>
  <c r="R123" i="1"/>
  <c r="R107" i="1"/>
  <c r="R91" i="1"/>
  <c r="R75" i="1"/>
  <c r="R59" i="1"/>
  <c r="R43" i="1"/>
  <c r="R27" i="1"/>
  <c r="R11" i="1"/>
  <c r="R483" i="1"/>
  <c r="R491" i="1"/>
  <c r="R435" i="1"/>
  <c r="R383" i="1"/>
  <c r="R495" i="1"/>
  <c r="R459" i="1"/>
  <c r="R419" i="1"/>
  <c r="R379" i="1"/>
  <c r="R338" i="1"/>
  <c r="R492" i="1"/>
  <c r="R476" i="1"/>
  <c r="R460" i="1"/>
  <c r="R444" i="1"/>
  <c r="R428" i="1"/>
  <c r="R412" i="1"/>
  <c r="R396" i="1"/>
  <c r="R380" i="1"/>
  <c r="R364" i="1"/>
  <c r="R348" i="1"/>
  <c r="R326" i="1"/>
  <c r="R262" i="1"/>
  <c r="R198" i="1"/>
  <c r="R134" i="1"/>
  <c r="R70" i="1"/>
  <c r="R6" i="1"/>
  <c r="R317" i="1"/>
  <c r="R301" i="1"/>
  <c r="R285" i="1"/>
  <c r="R269" i="1"/>
  <c r="R253" i="1"/>
  <c r="R237" i="1"/>
  <c r="R221" i="1"/>
  <c r="R205" i="1"/>
  <c r="R189" i="1"/>
  <c r="R173" i="1"/>
  <c r="R157" i="1"/>
  <c r="R141" i="1"/>
  <c r="R125" i="1"/>
  <c r="R109" i="1"/>
  <c r="R93" i="1"/>
  <c r="R77" i="1"/>
  <c r="R61" i="1"/>
  <c r="R45" i="1"/>
  <c r="R29" i="1"/>
  <c r="R13" i="1"/>
  <c r="R327" i="1"/>
  <c r="R311" i="1"/>
  <c r="R295" i="1"/>
  <c r="R279" i="1"/>
  <c r="R263" i="1"/>
  <c r="R247" i="1"/>
  <c r="R231" i="1"/>
  <c r="R215" i="1"/>
  <c r="R199" i="1"/>
  <c r="R183" i="1"/>
  <c r="R167" i="1"/>
  <c r="R151" i="1"/>
  <c r="R135" i="1"/>
  <c r="R119" i="1"/>
  <c r="R103" i="1"/>
  <c r="R87" i="1"/>
  <c r="R71" i="1"/>
  <c r="R55" i="1"/>
  <c r="R39" i="1"/>
  <c r="R23" i="1"/>
  <c r="R7" i="1"/>
  <c r="R467" i="1"/>
  <c r="R479" i="1"/>
  <c r="R423" i="1"/>
  <c r="R367" i="1"/>
  <c r="R485" i="1"/>
  <c r="R469" i="1"/>
  <c r="R453" i="1"/>
  <c r="R437" i="1"/>
  <c r="R421" i="1"/>
  <c r="R405" i="1"/>
  <c r="R389" i="1"/>
  <c r="R373" i="1"/>
  <c r="R357" i="1"/>
  <c r="R341" i="1"/>
  <c r="R487" i="1"/>
  <c r="R447" i="1"/>
  <c r="R411" i="1"/>
  <c r="R371" i="1"/>
  <c r="R488" i="1"/>
  <c r="R472" i="1"/>
  <c r="R456" i="1"/>
  <c r="R440" i="1"/>
  <c r="R424" i="1"/>
  <c r="R408" i="1"/>
  <c r="R392" i="1"/>
  <c r="R376" i="1"/>
  <c r="R360" i="1"/>
  <c r="R344" i="1"/>
  <c r="R310" i="1"/>
  <c r="R246" i="1"/>
  <c r="R182" i="1"/>
  <c r="R118" i="1"/>
  <c r="R54" i="1"/>
  <c r="R320" i="1"/>
  <c r="R304" i="1"/>
  <c r="R288" i="1"/>
  <c r="R272" i="1"/>
  <c r="R256" i="1"/>
  <c r="R240" i="1"/>
  <c r="R224" i="1"/>
  <c r="R208" i="1"/>
  <c r="R192" i="1"/>
  <c r="R176" i="1"/>
  <c r="R160" i="1"/>
  <c r="R144" i="1"/>
  <c r="R128" i="1"/>
  <c r="R112" i="1"/>
  <c r="R96" i="1"/>
  <c r="R80" i="1"/>
  <c r="R64" i="1"/>
  <c r="R48" i="1"/>
  <c r="R32" i="1"/>
  <c r="R16" i="1"/>
  <c r="R339" i="1"/>
  <c r="R323" i="1"/>
  <c r="R307" i="1"/>
  <c r="R291" i="1"/>
  <c r="R275" i="1"/>
  <c r="R259" i="1"/>
  <c r="R243" i="1"/>
  <c r="R227" i="1"/>
  <c r="R211" i="1"/>
  <c r="R195" i="1"/>
  <c r="R179" i="1"/>
  <c r="R163" i="1"/>
  <c r="R147" i="1"/>
  <c r="R131" i="1"/>
  <c r="R115" i="1"/>
  <c r="R99" i="1"/>
  <c r="R83" i="1"/>
  <c r="R67" i="1"/>
  <c r="R51" i="1"/>
  <c r="R35" i="1"/>
  <c r="R19" i="1"/>
  <c r="R3" i="1"/>
  <c r="V8" i="1" l="1"/>
  <c r="V7" i="1"/>
  <c r="AD2" i="1"/>
  <c r="AB2" i="1"/>
  <c r="AC2" i="1"/>
  <c r="AE2" i="1"/>
  <c r="AD9" i="1"/>
  <c r="AB4" i="1"/>
  <c r="AD4" i="1"/>
  <c r="AB8" i="1"/>
  <c r="AB3" i="1"/>
  <c r="AD3" i="1"/>
  <c r="AB6" i="1"/>
  <c r="AD6" i="1"/>
  <c r="AB5" i="1"/>
  <c r="AD5" i="1"/>
  <c r="AD8" i="1"/>
  <c r="AC4" i="1"/>
  <c r="AC7" i="1"/>
  <c r="AE7" i="1"/>
  <c r="AC9" i="1"/>
  <c r="AE9" i="1"/>
  <c r="AC8" i="1"/>
  <c r="AE4" i="1"/>
  <c r="AC3" i="1"/>
  <c r="AE3" i="1"/>
  <c r="AC6" i="1"/>
  <c r="AE6" i="1"/>
  <c r="AC5" i="1"/>
  <c r="AE5" i="1"/>
  <c r="AE8" i="1"/>
  <c r="AB7" i="1"/>
  <c r="AD7" i="1"/>
  <c r="AB9" i="1"/>
  <c r="AE10" i="1" l="1"/>
  <c r="AD10" i="1"/>
</calcChain>
</file>

<file path=xl/sharedStrings.xml><?xml version="1.0" encoding="utf-8"?>
<sst xmlns="http://schemas.openxmlformats.org/spreadsheetml/2006/main" count="338" uniqueCount="128">
  <si>
    <t>Position</t>
  </si>
  <si>
    <t>Name</t>
  </si>
  <si>
    <t>Salary</t>
  </si>
  <si>
    <t>SF</t>
  </si>
  <si>
    <t>Kevin Durant</t>
  </si>
  <si>
    <t>PF</t>
  </si>
  <si>
    <t>SG</t>
  </si>
  <si>
    <t>PG</t>
  </si>
  <si>
    <t>Russell Westbrook</t>
  </si>
  <si>
    <t>C</t>
  </si>
  <si>
    <t>Marc Gasol</t>
  </si>
  <si>
    <t>Rajon Rondo</t>
  </si>
  <si>
    <t>Mike Conley</t>
  </si>
  <si>
    <t>Gordon Hayward</t>
  </si>
  <si>
    <t>Klay Thompson</t>
  </si>
  <si>
    <t>Derrick Favors</t>
  </si>
  <si>
    <t>Monta Ellis</t>
  </si>
  <si>
    <t>Zach Randolph</t>
  </si>
  <si>
    <t>Brook Lopez</t>
  </si>
  <si>
    <t>Enes Kanter</t>
  </si>
  <si>
    <t>Serge Ibaka</t>
  </si>
  <si>
    <t>Joe Johnson</t>
  </si>
  <si>
    <t>Trey Burke</t>
  </si>
  <si>
    <t>Jeff Green</t>
  </si>
  <si>
    <t>Rudy Gobert</t>
  </si>
  <si>
    <t>Rodney Stuckey</t>
  </si>
  <si>
    <t>Dion Waiters</t>
  </si>
  <si>
    <t>Steven Adams</t>
  </si>
  <si>
    <t>Matt Barnes</t>
  </si>
  <si>
    <t>Courtney Lee</t>
  </si>
  <si>
    <t>Vince Carter</t>
  </si>
  <si>
    <t>Trevor Booker</t>
  </si>
  <si>
    <t>Kosta Koufos</t>
  </si>
  <si>
    <t>Andre Roberson</t>
  </si>
  <si>
    <t>Tony Allen</t>
  </si>
  <si>
    <t>Alec Burks</t>
  </si>
  <si>
    <t>Quincy Acy</t>
  </si>
  <si>
    <t>Rodney Hood</t>
  </si>
  <si>
    <t>Brandan Wright</t>
  </si>
  <si>
    <t>Anthony Morrow</t>
  </si>
  <si>
    <t>Nick Collison</t>
  </si>
  <si>
    <t>Steve Novak</t>
  </si>
  <si>
    <t>Jeff Withey</t>
  </si>
  <si>
    <t>Russ Smith</t>
  </si>
  <si>
    <t>Joe Ingles</t>
  </si>
  <si>
    <t>Jordan Adams</t>
  </si>
  <si>
    <t>Mitch McGary</t>
  </si>
  <si>
    <t>Generic Position</t>
  </si>
  <si>
    <t>Lock</t>
  </si>
  <si>
    <t>Constraints</t>
  </si>
  <si>
    <t>&gt;=</t>
  </si>
  <si>
    <t>G</t>
  </si>
  <si>
    <t>F</t>
  </si>
  <si>
    <t>Total</t>
  </si>
  <si>
    <t>Optimizer</t>
  </si>
  <si>
    <t>Total Points</t>
  </si>
  <si>
    <t>=</t>
  </si>
  <si>
    <t>&lt;=</t>
  </si>
  <si>
    <t>Projection</t>
  </si>
  <si>
    <t>Player Name for Lock</t>
  </si>
  <si>
    <t>Max Points</t>
  </si>
  <si>
    <t>Cumulative</t>
  </si>
  <si>
    <t>Team Slot</t>
  </si>
  <si>
    <t>Slot</t>
  </si>
  <si>
    <t>Directions for use:</t>
  </si>
  <si>
    <t>1. Install OpenSolver</t>
  </si>
  <si>
    <t xml:space="preserve">2. From the OpenSolver menu in the data tab select </t>
  </si>
  <si>
    <t xml:space="preserve">   "Set Quick Solve Parameter"s from the dropdown</t>
  </si>
  <si>
    <t>3. From the OpenSolver Drop down select</t>
  </si>
  <si>
    <t xml:space="preserve">Notes: </t>
  </si>
  <si>
    <t>1. Green cells can accept user inputs</t>
  </si>
  <si>
    <t>2. Players, salaries and projections go in the data tab</t>
  </si>
  <si>
    <t>3. Unlock sheets with the password 1234</t>
  </si>
  <si>
    <t>Found?</t>
  </si>
  <si>
    <t xml:space="preserve">   "Initialize Quick Solve" (failure to initialize will cause errors)</t>
  </si>
  <si>
    <t>DeMarcus Cousins</t>
  </si>
  <si>
    <t>Rudy Gay</t>
  </si>
  <si>
    <t>Darren Collison</t>
  </si>
  <si>
    <t>Ben McLemore</t>
  </si>
  <si>
    <t>D.J. Augustin</t>
  </si>
  <si>
    <t>Kyle Singler</t>
  </si>
  <si>
    <t>Caron Butler</t>
  </si>
  <si>
    <t>Elijah Millsap</t>
  </si>
  <si>
    <t>Omri Casspi</t>
  </si>
  <si>
    <t>AvgPointsPerGame</t>
  </si>
  <si>
    <t>4. Hit the create lineups button</t>
  </si>
  <si>
    <t>Lock Points</t>
  </si>
  <si>
    <t xml:space="preserve">4. May need to update the iteration limit to ~2000 in the model </t>
  </si>
  <si>
    <t xml:space="preserve">    options</t>
  </si>
  <si>
    <t>Optimization Points</t>
  </si>
  <si>
    <t xml:space="preserve">   and set to cell $x$11</t>
  </si>
  <si>
    <t>James Ennis</t>
  </si>
  <si>
    <t>JaMychal Green</t>
  </si>
  <si>
    <t>Mario Chalmers</t>
  </si>
  <si>
    <t>Cameron Payne</t>
  </si>
  <si>
    <t>James Anderson</t>
  </si>
  <si>
    <t>Marco Belinelli</t>
  </si>
  <si>
    <t>Seth Curry</t>
  </si>
  <si>
    <t>Chris Johnson</t>
  </si>
  <si>
    <t>Raul Neto</t>
  </si>
  <si>
    <t>Tibor Pleiss</t>
  </si>
  <si>
    <t>Trey Lyles</t>
  </si>
  <si>
    <t>Lineups</t>
  </si>
  <si>
    <t>Danilo Gallinari</t>
  </si>
  <si>
    <t>Darrell Arthur</t>
  </si>
  <si>
    <t>Emmanuel Mudiay</t>
  </si>
  <si>
    <t>Gary Harris</t>
  </si>
  <si>
    <t>J.J. Hickson</t>
  </si>
  <si>
    <t>Jameer Nelson</t>
  </si>
  <si>
    <t>Joffrey Lauvergne</t>
  </si>
  <si>
    <t>Kenneth Faried</t>
  </si>
  <si>
    <t>Kostas Papanikolaou</t>
  </si>
  <si>
    <t>Nikola Jokic</t>
  </si>
  <si>
    <t>Randy Foye</t>
  </si>
  <si>
    <t>Will Barton</t>
  </si>
  <si>
    <t>Aaron Gordon</t>
  </si>
  <si>
    <t>Andrew Nicholson</t>
  </si>
  <si>
    <t>C.J. Watson</t>
  </si>
  <si>
    <t>Channing Frye</t>
  </si>
  <si>
    <t>Dewayne Dedmon</t>
  </si>
  <si>
    <t>Elfrid Payton</t>
  </si>
  <si>
    <t>Evan Fournier</t>
  </si>
  <si>
    <t>Jason Smith</t>
  </si>
  <si>
    <t>Mario Hezonja</t>
  </si>
  <si>
    <t>Nikola Vucevic</t>
  </si>
  <si>
    <t>Shabazz Napier</t>
  </si>
  <si>
    <t>Tobias Harris</t>
  </si>
  <si>
    <t>Victor Oladipo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</si>
</sst>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medium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/>
      <diagonal/>
    </border>
    <border>
      <left style="medium">
        <color indexed="64"/>
      </left>
      <right/>
      <top style="thin">
        <color theme="0" tint="-0.14996795556505021"/>
      </top>
      <bottom style="medium">
        <color indexed="64"/>
      </bottom>
      <diagonal/>
    </border>
    <border>
      <left/>
      <right/>
      <top style="thin">
        <color theme="0" tint="-0.14996795556505021"/>
      </top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53">
    <xf numFmtId="0" fontId="0" fillId="0" borderId="0" xfId="0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16" fillId="33" borderId="0" xfId="0" applyFont="1" applyFill="1"/>
    <xf numFmtId="0" fontId="18" fillId="0" borderId="0" xfId="42"/>
    <xf numFmtId="0" fontId="0" fillId="0" borderId="0" xfId="0" applyBorder="1"/>
    <xf numFmtId="0" fontId="0" fillId="0" borderId="21" xfId="0" applyBorder="1" applyAlignment="1">
      <alignment horizontal="center"/>
    </xf>
    <xf numFmtId="0" fontId="0" fillId="0" borderId="21" xfId="0" applyBorder="1"/>
    <xf numFmtId="0" fontId="19" fillId="0" borderId="22" xfId="0" applyFont="1" applyBorder="1"/>
    <xf numFmtId="1" fontId="19" fillId="0" borderId="23" xfId="0" applyNumberFormat="1" applyFont="1" applyBorder="1" applyAlignment="1">
      <alignment horizontal="center"/>
    </xf>
    <xf numFmtId="0" fontId="0" fillId="0" borderId="24" xfId="0" applyBorder="1"/>
    <xf numFmtId="0" fontId="16" fillId="33" borderId="10" xfId="0" applyFont="1" applyFill="1" applyBorder="1" applyAlignment="1">
      <alignment horizontal="center"/>
    </xf>
    <xf numFmtId="0" fontId="16" fillId="33" borderId="11" xfId="0" applyFont="1" applyFill="1" applyBorder="1"/>
    <xf numFmtId="0" fontId="16" fillId="33" borderId="12" xfId="0" applyFont="1" applyFill="1" applyBorder="1"/>
    <xf numFmtId="0" fontId="0" fillId="0" borderId="25" xfId="0" applyBorder="1" applyAlignment="1">
      <alignment horizontal="center"/>
    </xf>
    <xf numFmtId="1" fontId="0" fillId="0" borderId="26" xfId="0" applyNumberFormat="1" applyBorder="1"/>
    <xf numFmtId="0" fontId="0" fillId="0" borderId="27" xfId="0" applyBorder="1" applyAlignment="1">
      <alignment horizontal="center"/>
    </xf>
    <xf numFmtId="1" fontId="0" fillId="0" borderId="28" xfId="0" applyNumberFormat="1" applyBorder="1"/>
    <xf numFmtId="0" fontId="0" fillId="0" borderId="29" xfId="0" applyBorder="1"/>
    <xf numFmtId="0" fontId="0" fillId="0" borderId="30" xfId="0" applyBorder="1"/>
    <xf numFmtId="0" fontId="16" fillId="0" borderId="30" xfId="0" applyFont="1" applyBorder="1"/>
    <xf numFmtId="0" fontId="16" fillId="0" borderId="31" xfId="0" applyFont="1" applyBorder="1"/>
    <xf numFmtId="1" fontId="16" fillId="0" borderId="32" xfId="0" applyNumberFormat="1" applyFont="1" applyBorder="1"/>
    <xf numFmtId="0" fontId="16" fillId="33" borderId="13" xfId="0" applyFont="1" applyFill="1" applyBorder="1" applyProtection="1"/>
    <xf numFmtId="0" fontId="16" fillId="33" borderId="14" xfId="0" applyFont="1" applyFill="1" applyBorder="1" applyProtection="1"/>
    <xf numFmtId="0" fontId="16" fillId="33" borderId="14" xfId="0" applyFont="1" applyFill="1" applyBorder="1" applyAlignment="1" applyProtection="1">
      <alignment horizontal="center"/>
    </xf>
    <xf numFmtId="0" fontId="16" fillId="33" borderId="15" xfId="0" applyFont="1" applyFill="1" applyBorder="1" applyAlignment="1" applyProtection="1">
      <alignment horizontal="center"/>
    </xf>
    <xf numFmtId="0" fontId="0" fillId="0" borderId="16" xfId="0" applyBorder="1" applyProtection="1"/>
    <xf numFmtId="0" fontId="0" fillId="0" borderId="0" xfId="0" applyBorder="1" applyProtection="1"/>
    <xf numFmtId="0" fontId="0" fillId="0" borderId="0" xfId="0" applyBorder="1" applyAlignment="1" applyProtection="1">
      <alignment horizontal="center"/>
    </xf>
    <xf numFmtId="0" fontId="0" fillId="0" borderId="17" xfId="0" applyBorder="1" applyAlignment="1" applyProtection="1">
      <alignment horizontal="center"/>
    </xf>
    <xf numFmtId="0" fontId="0" fillId="0" borderId="18" xfId="0" applyBorder="1" applyProtection="1"/>
    <xf numFmtId="0" fontId="0" fillId="0" borderId="19" xfId="0" applyBorder="1" applyProtection="1"/>
    <xf numFmtId="0" fontId="0" fillId="0" borderId="19" xfId="0" applyBorder="1" applyAlignment="1" applyProtection="1">
      <alignment horizontal="center"/>
    </xf>
    <xf numFmtId="0" fontId="0" fillId="0" borderId="20" xfId="0" applyBorder="1" applyAlignment="1" applyProtection="1">
      <alignment horizontal="center"/>
    </xf>
    <xf numFmtId="1" fontId="0" fillId="0" borderId="21" xfId="0" applyNumberFormat="1" applyBorder="1" applyAlignment="1">
      <alignment horizontal="center"/>
    </xf>
    <xf numFmtId="0" fontId="16" fillId="33" borderId="21" xfId="0" applyFont="1" applyFill="1" applyBorder="1"/>
    <xf numFmtId="0" fontId="16" fillId="34" borderId="21" xfId="0" applyFont="1" applyFill="1" applyBorder="1" applyProtection="1">
      <protection locked="0"/>
    </xf>
    <xf numFmtId="1" fontId="0" fillId="34" borderId="21" xfId="0" applyNumberFormat="1" applyFill="1" applyBorder="1" applyAlignment="1" applyProtection="1">
      <alignment horizontal="center"/>
      <protection locked="0"/>
    </xf>
    <xf numFmtId="0" fontId="16" fillId="0" borderId="33" xfId="0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16" fillId="0" borderId="36" xfId="0" applyFont="1" applyFill="1" applyBorder="1"/>
    <xf numFmtId="0" fontId="0" fillId="0" borderId="36" xfId="0" applyFill="1" applyBorder="1"/>
    <xf numFmtId="0" fontId="0" fillId="0" borderId="38" xfId="0" applyFill="1" applyBorder="1"/>
    <xf numFmtId="0" fontId="0" fillId="0" borderId="39" xfId="0" applyBorder="1"/>
    <xf numFmtId="0" fontId="0" fillId="0" borderId="40" xfId="0" applyBorder="1"/>
    <xf numFmtId="0" fontId="0" fillId="0" borderId="0" xfId="0" applyFill="1" applyBorder="1" applyAlignment="1" applyProtection="1">
      <alignment horizontal="center"/>
      <protection locked="0"/>
    </xf>
    <xf numFmtId="164" fontId="0" fillId="0" borderId="21" xfId="0" applyNumberFormat="1" applyBorder="1" applyAlignment="1">
      <alignment horizontal="center"/>
    </xf>
    <xf numFmtId="164" fontId="0" fillId="34" borderId="0" xfId="0" applyNumberFormat="1" applyFill="1" applyBorder="1" applyAlignment="1" applyProtection="1">
      <alignment horizontal="center"/>
      <protection locked="0"/>
    </xf>
    <xf numFmtId="164" fontId="0" fillId="34" borderId="19" xfId="0" applyNumberFormat="1" applyFill="1" applyBorder="1" applyAlignment="1" applyProtection="1">
      <alignment horizontal="center"/>
      <protection locked="0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161925</xdr:colOff>
          <xdr:row>18</xdr:row>
          <xdr:rowOff>28575</xdr:rowOff>
        </xdr:from>
        <xdr:to>
          <xdr:col>24</xdr:col>
          <xdr:colOff>28575</xdr:colOff>
          <xdr:row>19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Lineups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501"/>
  <sheetViews>
    <sheetView showGridLines="0" topLeftCell="P1" workbookViewId="0">
      <selection activeCell="X20" sqref="X20"/>
    </sheetView>
  </sheetViews>
  <sheetFormatPr defaultRowHeight="15" x14ac:dyDescent="0.25"/>
  <cols>
    <col min="1" max="1" width="8.28515625" bestFit="1" customWidth="1"/>
    <col min="2" max="2" width="24.42578125" bestFit="1" customWidth="1"/>
    <col min="3" max="3" width="7.140625" style="1" customWidth="1"/>
    <col min="4" max="4" width="10.140625" style="1" bestFit="1" customWidth="1"/>
    <col min="5" max="5" width="17.42578125" style="1" customWidth="1"/>
    <col min="6" max="6" width="12" style="1" bestFit="1" customWidth="1"/>
    <col min="7" max="13" width="12" style="1" customWidth="1"/>
    <col min="14" max="14" width="13.7109375" style="1" bestFit="1" customWidth="1"/>
    <col min="15" max="16" width="18.85546875" style="1" bestFit="1" customWidth="1"/>
    <col min="17" max="17" width="11.140625" style="1" bestFit="1" customWidth="1"/>
    <col min="18" max="18" width="9.7109375" style="1" bestFit="1" customWidth="1"/>
    <col min="20" max="20" width="3" customWidth="1"/>
    <col min="21" max="21" width="19.85546875" bestFit="1" customWidth="1"/>
    <col min="22" max="22" width="9.5703125" bestFit="1" customWidth="1"/>
    <col min="27" max="27" width="4.42578125" bestFit="1" customWidth="1"/>
    <col min="29" max="29" width="25.85546875" customWidth="1"/>
    <col min="31" max="31" width="10.140625" bestFit="1" customWidth="1"/>
  </cols>
  <sheetData>
    <row r="1" spans="1:31" ht="15.75" thickTop="1" x14ac:dyDescent="0.25">
      <c r="A1" s="23" t="s">
        <v>0</v>
      </c>
      <c r="B1" s="24" t="s">
        <v>1</v>
      </c>
      <c r="C1" s="25" t="s">
        <v>2</v>
      </c>
      <c r="D1" s="25" t="s">
        <v>58</v>
      </c>
      <c r="E1" s="25" t="s">
        <v>47</v>
      </c>
      <c r="F1" s="25" t="s">
        <v>54</v>
      </c>
      <c r="G1" s="25" t="s">
        <v>3</v>
      </c>
      <c r="H1" s="25" t="s">
        <v>6</v>
      </c>
      <c r="I1" s="25" t="s">
        <v>9</v>
      </c>
      <c r="J1" s="25" t="s">
        <v>7</v>
      </c>
      <c r="K1" s="25" t="s">
        <v>5</v>
      </c>
      <c r="L1" s="25" t="s">
        <v>51</v>
      </c>
      <c r="M1" s="25" t="s">
        <v>52</v>
      </c>
      <c r="N1" s="25" t="s">
        <v>48</v>
      </c>
      <c r="O1" s="25" t="s">
        <v>86</v>
      </c>
      <c r="P1" s="25" t="s">
        <v>89</v>
      </c>
      <c r="Q1" s="25" t="s">
        <v>61</v>
      </c>
      <c r="R1" s="26" t="s">
        <v>62</v>
      </c>
      <c r="S1" s="1"/>
      <c r="U1" s="3" t="s">
        <v>49</v>
      </c>
      <c r="V1" s="3"/>
      <c r="W1" s="3"/>
      <c r="X1" s="3"/>
      <c r="AA1" s="11" t="s">
        <v>63</v>
      </c>
      <c r="AB1" s="12" t="s">
        <v>0</v>
      </c>
      <c r="AC1" s="12" t="s">
        <v>1</v>
      </c>
      <c r="AD1" s="12" t="s">
        <v>2</v>
      </c>
      <c r="AE1" s="13" t="s">
        <v>58</v>
      </c>
    </row>
    <row r="2" spans="1:31" x14ac:dyDescent="0.25">
      <c r="A2" s="27" t="str">
        <f>IF('Data Sheet'!A2="","",'Data Sheet'!A2)</f>
        <v>SF</v>
      </c>
      <c r="B2" s="28" t="str">
        <f>IF('Data Sheet'!B2="","",'Data Sheet'!B2)</f>
        <v>Danilo Gallinari</v>
      </c>
      <c r="C2" s="28">
        <f>IF('Data Sheet'!C2="","",'Data Sheet'!C2)</f>
        <v>7000</v>
      </c>
      <c r="D2" s="28">
        <f>IF('Data Sheet'!D2="","",'Data Sheet'!D2)</f>
        <v>37.599999999999994</v>
      </c>
      <c r="E2" s="29" t="str">
        <f>IF(OR(A2="SF",A2="PF"),"F",IF(OR(A2="SG",A2="PG"),"G","C"))</f>
        <v>F</v>
      </c>
      <c r="F2" s="51">
        <v>0</v>
      </c>
      <c r="G2" s="49">
        <f>IF(A2="SF",1,0)</f>
        <v>1</v>
      </c>
      <c r="H2" s="49">
        <f>IF(A2="SG",1,0)</f>
        <v>0</v>
      </c>
      <c r="I2" s="49">
        <f>IF(A2="C",1,0)</f>
        <v>0</v>
      </c>
      <c r="J2" s="49">
        <f>IF(A2="PG",1,0)</f>
        <v>0</v>
      </c>
      <c r="K2" s="49">
        <f>IF(A2="PF",1,0)</f>
        <v>0</v>
      </c>
      <c r="L2" s="49">
        <f>IF(E2="G",1,0)</f>
        <v>0</v>
      </c>
      <c r="M2" s="49">
        <f>IF(E2="F",1,0)</f>
        <v>1</v>
      </c>
      <c r="N2" s="29" t="str">
        <f t="shared" ref="N2:N65" si="0">IFERROR(VLOOKUP(B2,$U$16:$U$23,1,FALSE), "")</f>
        <v/>
      </c>
      <c r="O2" s="29">
        <f t="shared" ref="O2:O65" si="1">IF(A2="",0,IF(N2="",D2,D2*10))</f>
        <v>37.599999999999994</v>
      </c>
      <c r="P2" s="29">
        <f t="shared" ref="P2:P65" si="2">O2*F2</f>
        <v>0</v>
      </c>
      <c r="Q2" s="29">
        <f>SUM(F$2:F2)</f>
        <v>0</v>
      </c>
      <c r="R2" s="30">
        <f>IF(Q2&lt;&gt;0, 1,0)</f>
        <v>0</v>
      </c>
      <c r="U2" s="6" t="s">
        <v>7</v>
      </c>
      <c r="V2" s="50">
        <f>SUMPRODUCT($F$2:$F$500,$J$2:$J$500)</f>
        <v>1</v>
      </c>
      <c r="W2" s="6" t="s">
        <v>50</v>
      </c>
      <c r="X2" s="6">
        <v>1</v>
      </c>
      <c r="Y2" s="2"/>
      <c r="AA2" s="14">
        <v>1</v>
      </c>
      <c r="AB2" s="7" t="str">
        <f t="shared" ref="AB2:AB9" si="3">INDEX(A:A,MATCH(AA2,R:R,0))</f>
        <v>C</v>
      </c>
      <c r="AC2" s="7" t="str">
        <f t="shared" ref="AC2:AC9" si="4">INDEX(B:B,MATCH(AA2,R:R,0))</f>
        <v>Marc Gasol</v>
      </c>
      <c r="AD2" s="7">
        <f t="shared" ref="AD2:AD9" si="5">INDEX(C:C,MATCH(AA2,R:R,0))</f>
        <v>7300</v>
      </c>
      <c r="AE2" s="15">
        <f t="shared" ref="AE2:AE9" si="6">INDEX(D:D,MATCH(AA2,R:R,0))</f>
        <v>44.2</v>
      </c>
    </row>
    <row r="3" spans="1:31" x14ac:dyDescent="0.25">
      <c r="A3" s="27" t="str">
        <f>IF('Data Sheet'!A3="","",'Data Sheet'!A3)</f>
        <v>PF</v>
      </c>
      <c r="B3" s="28" t="str">
        <f>IF('Data Sheet'!B3="","",'Data Sheet'!B3)</f>
        <v>Darrell Arthur</v>
      </c>
      <c r="C3" s="28">
        <f>IF('Data Sheet'!C3="","",'Data Sheet'!C3)</f>
        <v>4800</v>
      </c>
      <c r="D3" s="28">
        <f>IF('Data Sheet'!D3="","",'Data Sheet'!D3)</f>
        <v>18.799999999999997</v>
      </c>
      <c r="E3" s="29" t="str">
        <f t="shared" ref="E3:E66" si="7">IF(OR(A3="SF",A3="PF"),"F",IF(OR(A3="SG",A3="PG"),"G","C"))</f>
        <v>F</v>
      </c>
      <c r="F3" s="51">
        <v>0</v>
      </c>
      <c r="G3" s="49">
        <f t="shared" ref="G3:G66" si="8">IF(A3="SF",1,0)</f>
        <v>0</v>
      </c>
      <c r="H3" s="49">
        <f t="shared" ref="H3:H66" si="9">IF(A3="SG",1,0)</f>
        <v>0</v>
      </c>
      <c r="I3" s="49">
        <f t="shared" ref="I3:I66" si="10">IF(A3="C",1,0)</f>
        <v>0</v>
      </c>
      <c r="J3" s="49">
        <f t="shared" ref="J3:J66" si="11">IF(A3="PG",1,0)</f>
        <v>0</v>
      </c>
      <c r="K3" s="49">
        <f t="shared" ref="K3:K66" si="12">IF(A3="PF",1,0)</f>
        <v>1</v>
      </c>
      <c r="L3" s="49">
        <f t="shared" ref="L3:L66" si="13">IF(E3="G",1,0)</f>
        <v>0</v>
      </c>
      <c r="M3" s="49">
        <f t="shared" ref="M3:M66" si="14">IF(E3="F",1,0)</f>
        <v>1</v>
      </c>
      <c r="N3" s="29" t="str">
        <f t="shared" si="0"/>
        <v/>
      </c>
      <c r="O3" s="29">
        <f t="shared" si="1"/>
        <v>18.799999999999997</v>
      </c>
      <c r="P3" s="29">
        <f t="shared" si="2"/>
        <v>0</v>
      </c>
      <c r="Q3" s="29">
        <f>IF(A3&lt;&gt;"",SUM(F$2:F3),Q2)</f>
        <v>0</v>
      </c>
      <c r="R3" s="30">
        <f>IF(Q3=Q2,0,Q3)</f>
        <v>0</v>
      </c>
      <c r="U3" s="6" t="s">
        <v>6</v>
      </c>
      <c r="V3" s="50">
        <f>SUMPRODUCT($F$2:$F$500,$H$2:$H$500)</f>
        <v>2</v>
      </c>
      <c r="W3" s="6" t="s">
        <v>50</v>
      </c>
      <c r="X3" s="6">
        <v>1</v>
      </c>
      <c r="Y3" s="2"/>
      <c r="AA3" s="14">
        <f>AA2+1</f>
        <v>2</v>
      </c>
      <c r="AB3" s="7" t="str">
        <f t="shared" si="3"/>
        <v>PF</v>
      </c>
      <c r="AC3" s="7" t="str">
        <f t="shared" si="4"/>
        <v>Zach Randolph</v>
      </c>
      <c r="AD3" s="7">
        <f t="shared" si="5"/>
        <v>6300</v>
      </c>
      <c r="AE3" s="15">
        <f t="shared" si="6"/>
        <v>36.5</v>
      </c>
    </row>
    <row r="4" spans="1:31" x14ac:dyDescent="0.25">
      <c r="A4" s="27" t="str">
        <f>IF('Data Sheet'!A4="","",'Data Sheet'!A4)</f>
        <v>PG</v>
      </c>
      <c r="B4" s="28" t="str">
        <f>IF('Data Sheet'!B4="","",'Data Sheet'!B4)</f>
        <v>Emmanuel Mudiay</v>
      </c>
      <c r="C4" s="28">
        <f>IF('Data Sheet'!C4="","",'Data Sheet'!C4)</f>
        <v>5700</v>
      </c>
      <c r="D4" s="28">
        <f>IF('Data Sheet'!D4="","",'Data Sheet'!D4)</f>
        <v>25</v>
      </c>
      <c r="E4" s="29" t="str">
        <f t="shared" si="7"/>
        <v>G</v>
      </c>
      <c r="F4" s="51">
        <v>0</v>
      </c>
      <c r="G4" s="49">
        <f t="shared" si="8"/>
        <v>0</v>
      </c>
      <c r="H4" s="49">
        <f t="shared" si="9"/>
        <v>0</v>
      </c>
      <c r="I4" s="49">
        <f t="shared" si="10"/>
        <v>0</v>
      </c>
      <c r="J4" s="49">
        <f t="shared" si="11"/>
        <v>1</v>
      </c>
      <c r="K4" s="49">
        <f t="shared" si="12"/>
        <v>0</v>
      </c>
      <c r="L4" s="49">
        <f t="shared" si="13"/>
        <v>1</v>
      </c>
      <c r="M4" s="49">
        <f t="shared" si="14"/>
        <v>0</v>
      </c>
      <c r="N4" s="29" t="str">
        <f t="shared" si="0"/>
        <v/>
      </c>
      <c r="O4" s="29">
        <f t="shared" si="1"/>
        <v>25</v>
      </c>
      <c r="P4" s="29">
        <f t="shared" si="2"/>
        <v>0</v>
      </c>
      <c r="Q4" s="29">
        <f>IF(A4&lt;&gt;"",SUM(F$2:F4),Q3)</f>
        <v>0</v>
      </c>
      <c r="R4" s="30">
        <f t="shared" ref="R4:R67" si="15">IF(Q4=Q3,0,Q4)</f>
        <v>0</v>
      </c>
      <c r="U4" s="6" t="s">
        <v>3</v>
      </c>
      <c r="V4" s="50">
        <f>SUMPRODUCT($F$2:$F$500,$G$2:$G$500)</f>
        <v>1</v>
      </c>
      <c r="W4" s="6" t="s">
        <v>50</v>
      </c>
      <c r="X4" s="6">
        <v>1</v>
      </c>
      <c r="Y4" s="2"/>
      <c r="AA4" s="14">
        <f t="shared" ref="AA4:AA9" si="16">AA3+1</f>
        <v>3</v>
      </c>
      <c r="AB4" s="7" t="str">
        <f t="shared" si="3"/>
        <v>C</v>
      </c>
      <c r="AC4" s="7" t="str">
        <f t="shared" si="4"/>
        <v>Nikola Vucevic</v>
      </c>
      <c r="AD4" s="7">
        <f t="shared" si="5"/>
        <v>7000</v>
      </c>
      <c r="AE4" s="15">
        <f t="shared" si="6"/>
        <v>40</v>
      </c>
    </row>
    <row r="5" spans="1:31" x14ac:dyDescent="0.25">
      <c r="A5" s="27" t="str">
        <f>IF('Data Sheet'!A5="","",'Data Sheet'!A5)</f>
        <v>SG</v>
      </c>
      <c r="B5" s="28" t="str">
        <f>IF('Data Sheet'!B5="","",'Data Sheet'!B5)</f>
        <v>Gary Harris</v>
      </c>
      <c r="C5" s="28">
        <f>IF('Data Sheet'!C5="","",'Data Sheet'!C5)</f>
        <v>4100</v>
      </c>
      <c r="D5" s="28">
        <f>IF('Data Sheet'!D5="","",'Data Sheet'!D5)</f>
        <v>19.2</v>
      </c>
      <c r="E5" s="29" t="str">
        <f t="shared" si="7"/>
        <v>G</v>
      </c>
      <c r="F5" s="51">
        <v>0</v>
      </c>
      <c r="G5" s="49">
        <f t="shared" si="8"/>
        <v>0</v>
      </c>
      <c r="H5" s="49">
        <f t="shared" si="9"/>
        <v>1</v>
      </c>
      <c r="I5" s="49">
        <f t="shared" si="10"/>
        <v>0</v>
      </c>
      <c r="J5" s="49">
        <f t="shared" si="11"/>
        <v>0</v>
      </c>
      <c r="K5" s="49">
        <f t="shared" si="12"/>
        <v>0</v>
      </c>
      <c r="L5" s="49">
        <f t="shared" si="13"/>
        <v>1</v>
      </c>
      <c r="M5" s="49">
        <f t="shared" si="14"/>
        <v>0</v>
      </c>
      <c r="N5" s="29" t="str">
        <f t="shared" si="0"/>
        <v/>
      </c>
      <c r="O5" s="29">
        <f t="shared" si="1"/>
        <v>19.2</v>
      </c>
      <c r="P5" s="29">
        <f t="shared" si="2"/>
        <v>0</v>
      </c>
      <c r="Q5" s="29">
        <f>IF(A5&lt;&gt;"",SUM(F$2:F5),Q4)</f>
        <v>0</v>
      </c>
      <c r="R5" s="30">
        <f t="shared" si="15"/>
        <v>0</v>
      </c>
      <c r="U5" s="6" t="s">
        <v>5</v>
      </c>
      <c r="V5" s="50">
        <f>SUMPRODUCT($F$2:$F$500,$K$2:$K$500)</f>
        <v>2</v>
      </c>
      <c r="W5" s="6" t="s">
        <v>50</v>
      </c>
      <c r="X5" s="6">
        <v>1</v>
      </c>
      <c r="Y5" s="2"/>
      <c r="AA5" s="14">
        <f t="shared" si="16"/>
        <v>4</v>
      </c>
      <c r="AB5" s="7" t="str">
        <f t="shared" si="3"/>
        <v>SF</v>
      </c>
      <c r="AC5" s="7" t="str">
        <f t="shared" si="4"/>
        <v>Rudy Gay</v>
      </c>
      <c r="AD5" s="7">
        <f t="shared" si="5"/>
        <v>6900</v>
      </c>
      <c r="AE5" s="15">
        <f t="shared" si="6"/>
        <v>39.5</v>
      </c>
    </row>
    <row r="6" spans="1:31" x14ac:dyDescent="0.25">
      <c r="A6" s="27" t="str">
        <f>IF('Data Sheet'!A6="","",'Data Sheet'!A6)</f>
        <v>PF</v>
      </c>
      <c r="B6" s="28" t="str">
        <f>IF('Data Sheet'!B6="","",'Data Sheet'!B6)</f>
        <v>J.J. Hickson</v>
      </c>
      <c r="C6" s="28">
        <f>IF('Data Sheet'!C6="","",'Data Sheet'!C6)</f>
        <v>4000</v>
      </c>
      <c r="D6" s="28">
        <f>IF('Data Sheet'!D6="","",'Data Sheet'!D6)</f>
        <v>5.8</v>
      </c>
      <c r="E6" s="29" t="str">
        <f t="shared" si="7"/>
        <v>F</v>
      </c>
      <c r="F6" s="51">
        <v>0</v>
      </c>
      <c r="G6" s="49">
        <f t="shared" si="8"/>
        <v>0</v>
      </c>
      <c r="H6" s="49">
        <f t="shared" si="9"/>
        <v>0</v>
      </c>
      <c r="I6" s="49">
        <f t="shared" si="10"/>
        <v>0</v>
      </c>
      <c r="J6" s="49">
        <f t="shared" si="11"/>
        <v>0</v>
      </c>
      <c r="K6" s="49">
        <f t="shared" si="12"/>
        <v>1</v>
      </c>
      <c r="L6" s="49">
        <f t="shared" si="13"/>
        <v>0</v>
      </c>
      <c r="M6" s="49">
        <f t="shared" si="14"/>
        <v>1</v>
      </c>
      <c r="N6" s="29" t="str">
        <f t="shared" si="0"/>
        <v/>
      </c>
      <c r="O6" s="29">
        <f t="shared" si="1"/>
        <v>5.8</v>
      </c>
      <c r="P6" s="29">
        <f t="shared" si="2"/>
        <v>0</v>
      </c>
      <c r="Q6" s="29">
        <f>IF(A6&lt;&gt;"",SUM(F$2:F6),Q5)</f>
        <v>0</v>
      </c>
      <c r="R6" s="30">
        <f t="shared" si="15"/>
        <v>0</v>
      </c>
      <c r="U6" s="6" t="s">
        <v>9</v>
      </c>
      <c r="V6" s="50">
        <f>SUMPRODUCT($F$2:$F$500,$I$2:$I$500)</f>
        <v>2</v>
      </c>
      <c r="W6" s="6" t="s">
        <v>50</v>
      </c>
      <c r="X6" s="6">
        <v>1</v>
      </c>
      <c r="Y6" s="2"/>
      <c r="AA6" s="14">
        <f t="shared" si="16"/>
        <v>5</v>
      </c>
      <c r="AB6" s="7" t="str">
        <f t="shared" si="3"/>
        <v>SG</v>
      </c>
      <c r="AC6" s="7" t="str">
        <f t="shared" si="4"/>
        <v>Alec Burks</v>
      </c>
      <c r="AD6" s="7">
        <f t="shared" si="5"/>
        <v>5400</v>
      </c>
      <c r="AE6" s="15">
        <f t="shared" si="6"/>
        <v>30.3</v>
      </c>
    </row>
    <row r="7" spans="1:31" x14ac:dyDescent="0.25">
      <c r="A7" s="27" t="str">
        <f>IF('Data Sheet'!A7="","",'Data Sheet'!A7)</f>
        <v>PG</v>
      </c>
      <c r="B7" s="28" t="str">
        <f>IF('Data Sheet'!B7="","",'Data Sheet'!B7)</f>
        <v>Jameer Nelson</v>
      </c>
      <c r="C7" s="28">
        <f>IF('Data Sheet'!C7="","",'Data Sheet'!C7)</f>
        <v>3500</v>
      </c>
      <c r="D7" s="28">
        <f>IF('Data Sheet'!D7="","",'Data Sheet'!D7)</f>
        <v>17.600000000000001</v>
      </c>
      <c r="E7" s="29" t="str">
        <f t="shared" si="7"/>
        <v>G</v>
      </c>
      <c r="F7" s="51">
        <v>0</v>
      </c>
      <c r="G7" s="49">
        <f t="shared" si="8"/>
        <v>0</v>
      </c>
      <c r="H7" s="49">
        <f t="shared" si="9"/>
        <v>0</v>
      </c>
      <c r="I7" s="49">
        <f t="shared" si="10"/>
        <v>0</v>
      </c>
      <c r="J7" s="49">
        <f t="shared" si="11"/>
        <v>1</v>
      </c>
      <c r="K7" s="49">
        <f t="shared" si="12"/>
        <v>0</v>
      </c>
      <c r="L7" s="49">
        <f t="shared" si="13"/>
        <v>1</v>
      </c>
      <c r="M7" s="49">
        <f t="shared" si="14"/>
        <v>0</v>
      </c>
      <c r="N7" s="29" t="str">
        <f t="shared" si="0"/>
        <v/>
      </c>
      <c r="O7" s="29">
        <f t="shared" si="1"/>
        <v>17.600000000000001</v>
      </c>
      <c r="P7" s="29">
        <f t="shared" si="2"/>
        <v>0</v>
      </c>
      <c r="Q7" s="29">
        <f>IF(A7&lt;&gt;"",SUM(F$2:F7),Q6)</f>
        <v>0</v>
      </c>
      <c r="R7" s="30">
        <f t="shared" si="15"/>
        <v>0</v>
      </c>
      <c r="U7" s="6" t="s">
        <v>51</v>
      </c>
      <c r="V7" s="50">
        <f>SUMPRODUCT($F$2:$F$500,$L$2:$L$500)</f>
        <v>3</v>
      </c>
      <c r="W7" s="6" t="s">
        <v>50</v>
      </c>
      <c r="X7" s="6">
        <v>3</v>
      </c>
      <c r="Y7" s="2"/>
      <c r="AA7" s="14">
        <f t="shared" si="16"/>
        <v>6</v>
      </c>
      <c r="AB7" s="7" t="str">
        <f t="shared" si="3"/>
        <v>PF</v>
      </c>
      <c r="AC7" s="7" t="str">
        <f t="shared" si="4"/>
        <v>Derrick Favors</v>
      </c>
      <c r="AD7" s="7">
        <f t="shared" si="5"/>
        <v>7900</v>
      </c>
      <c r="AE7" s="15">
        <f t="shared" si="6"/>
        <v>45.9</v>
      </c>
    </row>
    <row r="8" spans="1:31" x14ac:dyDescent="0.25">
      <c r="A8" s="27" t="str">
        <f>IF('Data Sheet'!A8="","",'Data Sheet'!A8)</f>
        <v>C</v>
      </c>
      <c r="B8" s="28" t="str">
        <f>IF('Data Sheet'!B8="","",'Data Sheet'!B8)</f>
        <v>Joffrey Lauvergne</v>
      </c>
      <c r="C8" s="28">
        <f>IF('Data Sheet'!C8="","",'Data Sheet'!C8)</f>
        <v>4500</v>
      </c>
      <c r="D8" s="28">
        <f>IF('Data Sheet'!D8="","",'Data Sheet'!D8)</f>
        <v>17.8</v>
      </c>
      <c r="E8" s="29" t="str">
        <f t="shared" si="7"/>
        <v>C</v>
      </c>
      <c r="F8" s="51">
        <v>0</v>
      </c>
      <c r="G8" s="49">
        <f t="shared" si="8"/>
        <v>0</v>
      </c>
      <c r="H8" s="49">
        <f t="shared" si="9"/>
        <v>0</v>
      </c>
      <c r="I8" s="49">
        <f t="shared" si="10"/>
        <v>1</v>
      </c>
      <c r="J8" s="49">
        <f t="shared" si="11"/>
        <v>0</v>
      </c>
      <c r="K8" s="49">
        <f t="shared" si="12"/>
        <v>0</v>
      </c>
      <c r="L8" s="49">
        <f t="shared" si="13"/>
        <v>0</v>
      </c>
      <c r="M8" s="49">
        <f t="shared" si="14"/>
        <v>0</v>
      </c>
      <c r="N8" s="29" t="str">
        <f t="shared" si="0"/>
        <v/>
      </c>
      <c r="O8" s="29">
        <f t="shared" si="1"/>
        <v>17.8</v>
      </c>
      <c r="P8" s="29">
        <f t="shared" si="2"/>
        <v>0</v>
      </c>
      <c r="Q8" s="29">
        <f>IF(A8&lt;&gt;"",SUM(F$2:F8),Q7)</f>
        <v>0</v>
      </c>
      <c r="R8" s="30">
        <f t="shared" si="15"/>
        <v>0</v>
      </c>
      <c r="U8" s="6" t="s">
        <v>52</v>
      </c>
      <c r="V8" s="50">
        <f>SUMPRODUCT($F$2:$F$500,$M$2:$M$500)</f>
        <v>3</v>
      </c>
      <c r="W8" s="6" t="s">
        <v>50</v>
      </c>
      <c r="X8" s="6">
        <v>3</v>
      </c>
      <c r="Y8" s="2"/>
      <c r="AA8" s="14">
        <f t="shared" si="16"/>
        <v>7</v>
      </c>
      <c r="AB8" s="7" t="str">
        <f t="shared" si="3"/>
        <v>SG</v>
      </c>
      <c r="AC8" s="7" t="str">
        <f t="shared" si="4"/>
        <v>Rodney Hood</v>
      </c>
      <c r="AD8" s="7">
        <f t="shared" si="5"/>
        <v>4900</v>
      </c>
      <c r="AE8" s="15">
        <f t="shared" si="6"/>
        <v>27</v>
      </c>
    </row>
    <row r="9" spans="1:31" x14ac:dyDescent="0.25">
      <c r="A9" s="27" t="str">
        <f>IF('Data Sheet'!A9="","",'Data Sheet'!A9)</f>
        <v>PF</v>
      </c>
      <c r="B9" s="28" t="str">
        <f>IF('Data Sheet'!B9="","",'Data Sheet'!B9)</f>
        <v>Kenneth Faried</v>
      </c>
      <c r="C9" s="28">
        <f>IF('Data Sheet'!C9="","",'Data Sheet'!C9)</f>
        <v>5800</v>
      </c>
      <c r="D9" s="28">
        <f>IF('Data Sheet'!D9="","",'Data Sheet'!D9)</f>
        <v>24.6</v>
      </c>
      <c r="E9" s="29" t="str">
        <f t="shared" si="7"/>
        <v>F</v>
      </c>
      <c r="F9" s="51">
        <v>0</v>
      </c>
      <c r="G9" s="49">
        <f t="shared" si="8"/>
        <v>0</v>
      </c>
      <c r="H9" s="49">
        <f t="shared" si="9"/>
        <v>0</v>
      </c>
      <c r="I9" s="49">
        <f t="shared" si="10"/>
        <v>0</v>
      </c>
      <c r="J9" s="49">
        <f t="shared" si="11"/>
        <v>0</v>
      </c>
      <c r="K9" s="49">
        <f t="shared" si="12"/>
        <v>1</v>
      </c>
      <c r="L9" s="49">
        <f t="shared" si="13"/>
        <v>0</v>
      </c>
      <c r="M9" s="49">
        <f t="shared" si="14"/>
        <v>1</v>
      </c>
      <c r="N9" s="29" t="str">
        <f t="shared" si="0"/>
        <v/>
      </c>
      <c r="O9" s="29">
        <f t="shared" si="1"/>
        <v>24.6</v>
      </c>
      <c r="P9" s="29">
        <f t="shared" si="2"/>
        <v>0</v>
      </c>
      <c r="Q9" s="29">
        <f>IF(A9&lt;&gt;"",SUM(F$2:F9),Q8)</f>
        <v>0</v>
      </c>
      <c r="R9" s="30">
        <f t="shared" si="15"/>
        <v>0</v>
      </c>
      <c r="U9" s="6" t="s">
        <v>53</v>
      </c>
      <c r="V9" s="50">
        <f>SUM($F$2:$F$500)</f>
        <v>8</v>
      </c>
      <c r="W9" s="6" t="s">
        <v>56</v>
      </c>
      <c r="X9" s="6">
        <v>8</v>
      </c>
      <c r="Y9" s="2"/>
      <c r="AA9" s="16">
        <f t="shared" si="16"/>
        <v>8</v>
      </c>
      <c r="AB9" s="10" t="str">
        <f t="shared" si="3"/>
        <v>PG</v>
      </c>
      <c r="AC9" s="10" t="str">
        <f t="shared" si="4"/>
        <v>Trey Burke</v>
      </c>
      <c r="AD9" s="10">
        <f t="shared" si="5"/>
        <v>3900</v>
      </c>
      <c r="AE9" s="17">
        <f t="shared" si="6"/>
        <v>28.5</v>
      </c>
    </row>
    <row r="10" spans="1:31" ht="15.75" thickBot="1" x14ac:dyDescent="0.3">
      <c r="A10" s="27" t="str">
        <f>IF('Data Sheet'!A10="","",'Data Sheet'!A10)</f>
        <v>SF</v>
      </c>
      <c r="B10" s="28" t="str">
        <f>IF('Data Sheet'!B10="","",'Data Sheet'!B10)</f>
        <v>Kostas Papanikolaou</v>
      </c>
      <c r="C10" s="28">
        <f>IF('Data Sheet'!C10="","",'Data Sheet'!C10)</f>
        <v>3000</v>
      </c>
      <c r="D10" s="28">
        <f>IF('Data Sheet'!D10="","",'Data Sheet'!D10)</f>
        <v>2.1</v>
      </c>
      <c r="E10" s="29" t="str">
        <f t="shared" si="7"/>
        <v>F</v>
      </c>
      <c r="F10" s="51">
        <v>0</v>
      </c>
      <c r="G10" s="49">
        <f t="shared" si="8"/>
        <v>1</v>
      </c>
      <c r="H10" s="49">
        <f t="shared" si="9"/>
        <v>0</v>
      </c>
      <c r="I10" s="49">
        <f t="shared" si="10"/>
        <v>0</v>
      </c>
      <c r="J10" s="49">
        <f t="shared" si="11"/>
        <v>0</v>
      </c>
      <c r="K10" s="49">
        <f t="shared" si="12"/>
        <v>0</v>
      </c>
      <c r="L10" s="49">
        <f t="shared" si="13"/>
        <v>0</v>
      </c>
      <c r="M10" s="49">
        <f t="shared" si="14"/>
        <v>1</v>
      </c>
      <c r="N10" s="29" t="str">
        <f t="shared" si="0"/>
        <v/>
      </c>
      <c r="O10" s="29">
        <f t="shared" si="1"/>
        <v>2.1</v>
      </c>
      <c r="P10" s="29">
        <f t="shared" si="2"/>
        <v>0</v>
      </c>
      <c r="Q10" s="29">
        <f>IF(A10&lt;&gt;"",SUM(F$2:F10),Q9)</f>
        <v>0</v>
      </c>
      <c r="R10" s="30">
        <f t="shared" si="15"/>
        <v>0</v>
      </c>
      <c r="U10" s="6" t="s">
        <v>2</v>
      </c>
      <c r="V10" s="6">
        <f>SUMPRODUCT($C$2:$C$500,$F$2:$F$500)</f>
        <v>49600</v>
      </c>
      <c r="W10" s="6" t="s">
        <v>57</v>
      </c>
      <c r="X10" s="6">
        <v>50000</v>
      </c>
      <c r="Y10" s="2"/>
      <c r="AA10" s="18"/>
      <c r="AB10" s="19"/>
      <c r="AC10" s="20" t="s">
        <v>53</v>
      </c>
      <c r="AD10" s="21">
        <f>SUM(AD2:AD9)</f>
        <v>49600</v>
      </c>
      <c r="AE10" s="22">
        <f>SUM(AE2:AE9)</f>
        <v>291.89999999999998</v>
      </c>
    </row>
    <row r="11" spans="1:31" x14ac:dyDescent="0.25">
      <c r="A11" s="27" t="str">
        <f>IF('Data Sheet'!A11="","",'Data Sheet'!A11)</f>
        <v>C</v>
      </c>
      <c r="B11" s="28" t="str">
        <f>IF('Data Sheet'!B11="","",'Data Sheet'!B11)</f>
        <v>Nikola Jokic</v>
      </c>
      <c r="C11" s="28">
        <f>IF('Data Sheet'!C11="","",'Data Sheet'!C11)</f>
        <v>3900</v>
      </c>
      <c r="D11" s="28">
        <f>IF('Data Sheet'!D11="","",'Data Sheet'!D11)</f>
        <v>11.1</v>
      </c>
      <c r="E11" s="29" t="str">
        <f t="shared" si="7"/>
        <v>C</v>
      </c>
      <c r="F11" s="51">
        <v>0</v>
      </c>
      <c r="G11" s="49">
        <f t="shared" si="8"/>
        <v>0</v>
      </c>
      <c r="H11" s="49">
        <f t="shared" si="9"/>
        <v>0</v>
      </c>
      <c r="I11" s="49">
        <f t="shared" si="10"/>
        <v>1</v>
      </c>
      <c r="J11" s="49">
        <f t="shared" si="11"/>
        <v>0</v>
      </c>
      <c r="K11" s="49">
        <f t="shared" si="12"/>
        <v>0</v>
      </c>
      <c r="L11" s="49">
        <f t="shared" si="13"/>
        <v>0</v>
      </c>
      <c r="M11" s="49">
        <f t="shared" si="14"/>
        <v>0</v>
      </c>
      <c r="N11" s="29" t="str">
        <f t="shared" si="0"/>
        <v/>
      </c>
      <c r="O11" s="29">
        <f t="shared" si="1"/>
        <v>11.1</v>
      </c>
      <c r="P11" s="29">
        <f t="shared" si="2"/>
        <v>0</v>
      </c>
      <c r="Q11" s="29">
        <f>IF(A11&lt;&gt;"",SUM(F$2:F11),Q10)</f>
        <v>0</v>
      </c>
      <c r="R11" s="30">
        <f t="shared" si="15"/>
        <v>0</v>
      </c>
      <c r="U11" s="6" t="s">
        <v>55</v>
      </c>
      <c r="V11" s="35">
        <f>SUM(P2:P500)</f>
        <v>291.89999999999998</v>
      </c>
      <c r="W11" s="6" t="s">
        <v>57</v>
      </c>
      <c r="X11" s="38">
        <v>100000</v>
      </c>
      <c r="Y11" s="2"/>
    </row>
    <row r="12" spans="1:31" ht="15.75" thickBot="1" x14ac:dyDescent="0.3">
      <c r="A12" s="27" t="str">
        <f>IF('Data Sheet'!A12="","",'Data Sheet'!A12)</f>
        <v>PG</v>
      </c>
      <c r="B12" s="28" t="str">
        <f>IF('Data Sheet'!B12="","",'Data Sheet'!B12)</f>
        <v>Randy Foye</v>
      </c>
      <c r="C12" s="28">
        <f>IF('Data Sheet'!C12="","",'Data Sheet'!C12)</f>
        <v>3500</v>
      </c>
      <c r="D12" s="28">
        <f>IF('Data Sheet'!D12="","",'Data Sheet'!D12)</f>
        <v>7.3999999999999995</v>
      </c>
      <c r="E12" s="29" t="str">
        <f t="shared" si="7"/>
        <v>G</v>
      </c>
      <c r="F12" s="51">
        <v>0</v>
      </c>
      <c r="G12" s="49">
        <f t="shared" si="8"/>
        <v>0</v>
      </c>
      <c r="H12" s="49">
        <f t="shared" si="9"/>
        <v>0</v>
      </c>
      <c r="I12" s="49">
        <f t="shared" si="10"/>
        <v>0</v>
      </c>
      <c r="J12" s="49">
        <f t="shared" si="11"/>
        <v>1</v>
      </c>
      <c r="K12" s="49">
        <f t="shared" si="12"/>
        <v>0</v>
      </c>
      <c r="L12" s="49">
        <f t="shared" si="13"/>
        <v>1</v>
      </c>
      <c r="M12" s="49">
        <f t="shared" si="14"/>
        <v>0</v>
      </c>
      <c r="N12" s="29" t="str">
        <f t="shared" si="0"/>
        <v/>
      </c>
      <c r="O12" s="29">
        <f t="shared" si="1"/>
        <v>7.3999999999999995</v>
      </c>
      <c r="P12" s="29">
        <f t="shared" si="2"/>
        <v>0</v>
      </c>
      <c r="Q12" s="29">
        <f>IF(A12&lt;&gt;"",SUM(F$2:F12),Q11)</f>
        <v>0</v>
      </c>
      <c r="R12" s="30">
        <f t="shared" si="15"/>
        <v>0</v>
      </c>
      <c r="V12" s="2"/>
      <c r="W12" s="2"/>
      <c r="X12" s="2"/>
      <c r="Y12" s="2"/>
    </row>
    <row r="13" spans="1:31" ht="15.75" thickBot="1" x14ac:dyDescent="0.3">
      <c r="A13" s="27" t="str">
        <f>IF('Data Sheet'!A13="","",'Data Sheet'!A13)</f>
        <v>SG</v>
      </c>
      <c r="B13" s="28" t="str">
        <f>IF('Data Sheet'!B13="","",'Data Sheet'!B13)</f>
        <v>Will Barton</v>
      </c>
      <c r="C13" s="28">
        <f>IF('Data Sheet'!C13="","",'Data Sheet'!C13)</f>
        <v>5900</v>
      </c>
      <c r="D13" s="28">
        <f>IF('Data Sheet'!D13="","",'Data Sheet'!D13)</f>
        <v>30.1</v>
      </c>
      <c r="E13" s="29" t="str">
        <f t="shared" si="7"/>
        <v>G</v>
      </c>
      <c r="F13" s="51">
        <v>0</v>
      </c>
      <c r="G13" s="49">
        <f t="shared" si="8"/>
        <v>0</v>
      </c>
      <c r="H13" s="49">
        <f t="shared" si="9"/>
        <v>1</v>
      </c>
      <c r="I13" s="49">
        <f t="shared" si="10"/>
        <v>0</v>
      </c>
      <c r="J13" s="49">
        <f t="shared" si="11"/>
        <v>0</v>
      </c>
      <c r="K13" s="49">
        <f t="shared" si="12"/>
        <v>0</v>
      </c>
      <c r="L13" s="49">
        <f t="shared" si="13"/>
        <v>1</v>
      </c>
      <c r="M13" s="49">
        <f t="shared" si="14"/>
        <v>0</v>
      </c>
      <c r="N13" s="29" t="str">
        <f t="shared" si="0"/>
        <v/>
      </c>
      <c r="O13" s="29">
        <f t="shared" si="1"/>
        <v>30.1</v>
      </c>
      <c r="P13" s="29">
        <f t="shared" si="2"/>
        <v>0</v>
      </c>
      <c r="Q13" s="29">
        <f>IF(A13&lt;&gt;"",SUM(F$2:F13),Q12)</f>
        <v>0</v>
      </c>
      <c r="R13" s="30">
        <f t="shared" si="15"/>
        <v>0</v>
      </c>
      <c r="U13" s="8" t="s">
        <v>60</v>
      </c>
      <c r="V13" s="9">
        <f>SUM(P2:P500)</f>
        <v>291.89999999999998</v>
      </c>
      <c r="W13" s="2"/>
      <c r="X13" s="2"/>
      <c r="Y13" s="2"/>
      <c r="Z13" s="5"/>
      <c r="AA13" s="5"/>
      <c r="AB13" s="5"/>
      <c r="AC13" s="5"/>
      <c r="AD13" s="5"/>
      <c r="AE13" s="5"/>
    </row>
    <row r="14" spans="1:31" x14ac:dyDescent="0.25">
      <c r="A14" s="27" t="str">
        <f>IF('Data Sheet'!A14="","",'Data Sheet'!A14)</f>
        <v>PF</v>
      </c>
      <c r="B14" s="28" t="str">
        <f>IF('Data Sheet'!B14="","",'Data Sheet'!B14)</f>
        <v>Brandan Wright</v>
      </c>
      <c r="C14" s="28">
        <f>IF('Data Sheet'!C14="","",'Data Sheet'!C14)</f>
        <v>3200</v>
      </c>
      <c r="D14" s="28">
        <f>IF('Data Sheet'!D14="","",'Data Sheet'!D14)</f>
        <v>0</v>
      </c>
      <c r="E14" s="29" t="str">
        <f t="shared" si="7"/>
        <v>F</v>
      </c>
      <c r="F14" s="51">
        <v>0</v>
      </c>
      <c r="G14" s="49">
        <f t="shared" si="8"/>
        <v>0</v>
      </c>
      <c r="H14" s="49">
        <f t="shared" si="9"/>
        <v>0</v>
      </c>
      <c r="I14" s="49">
        <f t="shared" si="10"/>
        <v>0</v>
      </c>
      <c r="J14" s="49">
        <f t="shared" si="11"/>
        <v>0</v>
      </c>
      <c r="K14" s="49">
        <f t="shared" si="12"/>
        <v>1</v>
      </c>
      <c r="L14" s="49">
        <f t="shared" si="13"/>
        <v>0</v>
      </c>
      <c r="M14" s="49">
        <f t="shared" si="14"/>
        <v>1</v>
      </c>
      <c r="N14" s="29" t="str">
        <f t="shared" si="0"/>
        <v/>
      </c>
      <c r="O14" s="29">
        <f t="shared" si="1"/>
        <v>0</v>
      </c>
      <c r="P14" s="29">
        <f t="shared" si="2"/>
        <v>0</v>
      </c>
      <c r="Q14" s="29">
        <f>IF(A14&lt;&gt;"",SUM(F$2:F14),Q13)</f>
        <v>0</v>
      </c>
      <c r="R14" s="30">
        <f t="shared" si="15"/>
        <v>0</v>
      </c>
      <c r="Z14" s="5"/>
      <c r="AA14" s="39" t="s">
        <v>64</v>
      </c>
      <c r="AB14" s="40"/>
      <c r="AC14" s="40"/>
      <c r="AD14" s="40"/>
      <c r="AE14" s="41"/>
    </row>
    <row r="15" spans="1:31" x14ac:dyDescent="0.25">
      <c r="A15" s="27" t="str">
        <f>IF('Data Sheet'!A15="","",'Data Sheet'!A15)</f>
        <v>SG</v>
      </c>
      <c r="B15" s="28" t="str">
        <f>IF('Data Sheet'!B15="","",'Data Sheet'!B15)</f>
        <v>Courtney Lee</v>
      </c>
      <c r="C15" s="28">
        <f>IF('Data Sheet'!C15="","",'Data Sheet'!C15)</f>
        <v>4000</v>
      </c>
      <c r="D15" s="28">
        <f>IF('Data Sheet'!D15="","",'Data Sheet'!D15)</f>
        <v>23.6</v>
      </c>
      <c r="E15" s="29" t="str">
        <f t="shared" si="7"/>
        <v>G</v>
      </c>
      <c r="F15" s="51">
        <v>0</v>
      </c>
      <c r="G15" s="49">
        <f t="shared" si="8"/>
        <v>0</v>
      </c>
      <c r="H15" s="49">
        <f t="shared" si="9"/>
        <v>1</v>
      </c>
      <c r="I15" s="49">
        <f t="shared" si="10"/>
        <v>0</v>
      </c>
      <c r="J15" s="49">
        <f t="shared" si="11"/>
        <v>0</v>
      </c>
      <c r="K15" s="49">
        <f t="shared" si="12"/>
        <v>0</v>
      </c>
      <c r="L15" s="49">
        <f t="shared" si="13"/>
        <v>1</v>
      </c>
      <c r="M15" s="49">
        <f t="shared" si="14"/>
        <v>0</v>
      </c>
      <c r="N15" s="29" t="str">
        <f t="shared" si="0"/>
        <v/>
      </c>
      <c r="O15" s="29">
        <f t="shared" si="1"/>
        <v>23.6</v>
      </c>
      <c r="P15" s="29">
        <f t="shared" si="2"/>
        <v>0</v>
      </c>
      <c r="Q15" s="29">
        <f>IF(A15&lt;&gt;"",SUM(F$2:F15),Q14)</f>
        <v>0</v>
      </c>
      <c r="R15" s="30">
        <f t="shared" si="15"/>
        <v>0</v>
      </c>
      <c r="U15" s="36" t="s">
        <v>59</v>
      </c>
      <c r="V15" s="36" t="s">
        <v>73</v>
      </c>
      <c r="Z15" s="5"/>
      <c r="AA15" s="42" t="s">
        <v>65</v>
      </c>
      <c r="AB15" s="5"/>
      <c r="AC15" s="5"/>
      <c r="AD15" s="5"/>
      <c r="AE15" s="43"/>
    </row>
    <row r="16" spans="1:31" x14ac:dyDescent="0.25">
      <c r="A16" s="27" t="str">
        <f>IF('Data Sheet'!A16="","",'Data Sheet'!A16)</f>
        <v>SG</v>
      </c>
      <c r="B16" s="28" t="str">
        <f>IF('Data Sheet'!B16="","",'Data Sheet'!B16)</f>
        <v>James Ennis</v>
      </c>
      <c r="C16" s="28">
        <f>IF('Data Sheet'!C16="","",'Data Sheet'!C16)</f>
        <v>3100</v>
      </c>
      <c r="D16" s="28">
        <f>IF('Data Sheet'!D16="","",'Data Sheet'!D16)</f>
        <v>0</v>
      </c>
      <c r="E16" s="29" t="str">
        <f t="shared" si="7"/>
        <v>G</v>
      </c>
      <c r="F16" s="51">
        <v>0</v>
      </c>
      <c r="G16" s="49">
        <f t="shared" si="8"/>
        <v>0</v>
      </c>
      <c r="H16" s="49">
        <f t="shared" si="9"/>
        <v>1</v>
      </c>
      <c r="I16" s="49">
        <f t="shared" si="10"/>
        <v>0</v>
      </c>
      <c r="J16" s="49">
        <f t="shared" si="11"/>
        <v>0</v>
      </c>
      <c r="K16" s="49">
        <f t="shared" si="12"/>
        <v>0</v>
      </c>
      <c r="L16" s="49">
        <f t="shared" si="13"/>
        <v>1</v>
      </c>
      <c r="M16" s="49">
        <f t="shared" si="14"/>
        <v>0</v>
      </c>
      <c r="N16" s="29" t="str">
        <f t="shared" si="0"/>
        <v/>
      </c>
      <c r="O16" s="29">
        <f t="shared" si="1"/>
        <v>0</v>
      </c>
      <c r="P16" s="29">
        <f t="shared" si="2"/>
        <v>0</v>
      </c>
      <c r="Q16" s="29">
        <f>IF(A16&lt;&gt;"",SUM(F$2:F16),Q15)</f>
        <v>0</v>
      </c>
      <c r="R16" s="30">
        <f t="shared" si="15"/>
        <v>0</v>
      </c>
      <c r="T16" s="7">
        <v>1</v>
      </c>
      <c r="U16" s="37"/>
      <c r="V16" s="6" t="str">
        <f t="shared" ref="V16:V23" si="17">IF(U16="","",IF(ISERROR(VLOOKUP(U16,B:B,1,FALSE)),"No","Yes"))</f>
        <v/>
      </c>
      <c r="Z16" s="5"/>
      <c r="AA16" s="42" t="s">
        <v>66</v>
      </c>
      <c r="AB16" s="5"/>
      <c r="AC16" s="5"/>
      <c r="AD16" s="5"/>
      <c r="AE16" s="43"/>
    </row>
    <row r="17" spans="1:31" x14ac:dyDescent="0.25">
      <c r="A17" s="27" t="str">
        <f>IF('Data Sheet'!A17="","",'Data Sheet'!A17)</f>
        <v>PF</v>
      </c>
      <c r="B17" s="28" t="str">
        <f>IF('Data Sheet'!B17="","",'Data Sheet'!B17)</f>
        <v>JaMychal Green</v>
      </c>
      <c r="C17" s="28">
        <f>IF('Data Sheet'!C17="","",'Data Sheet'!C17)</f>
        <v>3500</v>
      </c>
      <c r="D17" s="28">
        <f>IF('Data Sheet'!D17="","",'Data Sheet'!D17)</f>
        <v>14.799999999999999</v>
      </c>
      <c r="E17" s="29" t="str">
        <f t="shared" si="7"/>
        <v>F</v>
      </c>
      <c r="F17" s="51">
        <v>0</v>
      </c>
      <c r="G17" s="49">
        <f t="shared" si="8"/>
        <v>0</v>
      </c>
      <c r="H17" s="49">
        <f t="shared" si="9"/>
        <v>0</v>
      </c>
      <c r="I17" s="49">
        <f t="shared" si="10"/>
        <v>0</v>
      </c>
      <c r="J17" s="49">
        <f t="shared" si="11"/>
        <v>0</v>
      </c>
      <c r="K17" s="49">
        <f t="shared" si="12"/>
        <v>1</v>
      </c>
      <c r="L17" s="49">
        <f t="shared" si="13"/>
        <v>0</v>
      </c>
      <c r="M17" s="49">
        <f t="shared" si="14"/>
        <v>1</v>
      </c>
      <c r="N17" s="29" t="str">
        <f t="shared" si="0"/>
        <v/>
      </c>
      <c r="O17" s="29">
        <f t="shared" si="1"/>
        <v>14.799999999999999</v>
      </c>
      <c r="P17" s="29">
        <f t="shared" si="2"/>
        <v>0</v>
      </c>
      <c r="Q17" s="29">
        <f>IF(A17&lt;&gt;"",SUM(F$2:F17),Q16)</f>
        <v>0</v>
      </c>
      <c r="R17" s="30">
        <f t="shared" si="15"/>
        <v>0</v>
      </c>
      <c r="T17" s="7">
        <v>2</v>
      </c>
      <c r="U17" s="37"/>
      <c r="V17" s="6" t="str">
        <f t="shared" si="17"/>
        <v/>
      </c>
      <c r="Z17" s="5"/>
      <c r="AA17" s="42" t="s">
        <v>67</v>
      </c>
      <c r="AB17" s="5"/>
      <c r="AC17" s="5"/>
      <c r="AD17" s="5"/>
      <c r="AE17" s="43"/>
    </row>
    <row r="18" spans="1:31" x14ac:dyDescent="0.25">
      <c r="A18" s="27" t="str">
        <f>IF('Data Sheet'!A18="","",'Data Sheet'!A18)</f>
        <v>SF</v>
      </c>
      <c r="B18" s="28" t="str">
        <f>IF('Data Sheet'!B18="","",'Data Sheet'!B18)</f>
        <v>Jeff Green</v>
      </c>
      <c r="C18" s="28">
        <f>IF('Data Sheet'!C18="","",'Data Sheet'!C18)</f>
        <v>5000</v>
      </c>
      <c r="D18" s="28">
        <f>IF('Data Sheet'!D18="","",'Data Sheet'!D18)</f>
        <v>28</v>
      </c>
      <c r="E18" s="29" t="str">
        <f t="shared" si="7"/>
        <v>F</v>
      </c>
      <c r="F18" s="51">
        <v>0</v>
      </c>
      <c r="G18" s="49">
        <f t="shared" si="8"/>
        <v>1</v>
      </c>
      <c r="H18" s="49">
        <f t="shared" si="9"/>
        <v>0</v>
      </c>
      <c r="I18" s="49">
        <f t="shared" si="10"/>
        <v>0</v>
      </c>
      <c r="J18" s="49">
        <f t="shared" si="11"/>
        <v>0</v>
      </c>
      <c r="K18" s="49">
        <f t="shared" si="12"/>
        <v>0</v>
      </c>
      <c r="L18" s="49">
        <f t="shared" si="13"/>
        <v>0</v>
      </c>
      <c r="M18" s="49">
        <f t="shared" si="14"/>
        <v>1</v>
      </c>
      <c r="N18" s="29" t="str">
        <f t="shared" si="0"/>
        <v/>
      </c>
      <c r="O18" s="29">
        <f t="shared" si="1"/>
        <v>28</v>
      </c>
      <c r="P18" s="29">
        <f t="shared" si="2"/>
        <v>0</v>
      </c>
      <c r="Q18" s="29">
        <f>IF(A18&lt;&gt;"",SUM(F$2:F18),Q17)</f>
        <v>0</v>
      </c>
      <c r="R18" s="30">
        <f t="shared" si="15"/>
        <v>0</v>
      </c>
      <c r="T18" s="7">
        <v>3</v>
      </c>
      <c r="U18" s="37"/>
      <c r="V18" s="6" t="str">
        <f t="shared" si="17"/>
        <v/>
      </c>
      <c r="Z18" s="5"/>
      <c r="AA18" s="42" t="s">
        <v>90</v>
      </c>
      <c r="AB18" s="5"/>
      <c r="AC18" s="5"/>
      <c r="AD18" s="5"/>
      <c r="AE18" s="43"/>
    </row>
    <row r="19" spans="1:31" x14ac:dyDescent="0.25">
      <c r="A19" s="27" t="str">
        <f>IF('Data Sheet'!A19="","",'Data Sheet'!A19)</f>
        <v>SG</v>
      </c>
      <c r="B19" s="28" t="str">
        <f>IF('Data Sheet'!B19="","",'Data Sheet'!B19)</f>
        <v>Jordan Adams</v>
      </c>
      <c r="C19" s="28">
        <f>IF('Data Sheet'!C19="","",'Data Sheet'!C19)</f>
        <v>3000</v>
      </c>
      <c r="D19" s="28">
        <f>IF('Data Sheet'!D19="","",'Data Sheet'!D19)</f>
        <v>0</v>
      </c>
      <c r="E19" s="29" t="str">
        <f t="shared" si="7"/>
        <v>G</v>
      </c>
      <c r="F19" s="51">
        <v>0</v>
      </c>
      <c r="G19" s="49">
        <f t="shared" si="8"/>
        <v>0</v>
      </c>
      <c r="H19" s="49">
        <f t="shared" si="9"/>
        <v>1</v>
      </c>
      <c r="I19" s="49">
        <f t="shared" si="10"/>
        <v>0</v>
      </c>
      <c r="J19" s="49">
        <f t="shared" si="11"/>
        <v>0</v>
      </c>
      <c r="K19" s="49">
        <f t="shared" si="12"/>
        <v>0</v>
      </c>
      <c r="L19" s="49">
        <f t="shared" si="13"/>
        <v>1</v>
      </c>
      <c r="M19" s="49">
        <f t="shared" si="14"/>
        <v>0</v>
      </c>
      <c r="N19" s="29" t="str">
        <f t="shared" si="0"/>
        <v/>
      </c>
      <c r="O19" s="29">
        <f t="shared" si="1"/>
        <v>0</v>
      </c>
      <c r="P19" s="29">
        <f t="shared" si="2"/>
        <v>0</v>
      </c>
      <c r="Q19" s="29">
        <f>IF(A19&lt;&gt;"",SUM(F$2:F19),Q18)</f>
        <v>0</v>
      </c>
      <c r="R19" s="30">
        <f t="shared" si="15"/>
        <v>0</v>
      </c>
      <c r="T19" s="7">
        <v>4</v>
      </c>
      <c r="U19" s="37"/>
      <c r="V19" s="6" t="str">
        <f t="shared" si="17"/>
        <v/>
      </c>
      <c r="Z19" s="5"/>
      <c r="AA19" s="42" t="s">
        <v>68</v>
      </c>
      <c r="AB19" s="5"/>
      <c r="AC19" s="5"/>
      <c r="AD19" s="5"/>
      <c r="AE19" s="43"/>
    </row>
    <row r="20" spans="1:31" x14ac:dyDescent="0.25">
      <c r="A20" s="27" t="str">
        <f>IF('Data Sheet'!A20="","",'Data Sheet'!A20)</f>
        <v>C</v>
      </c>
      <c r="B20" s="28" t="str">
        <f>IF('Data Sheet'!B20="","",'Data Sheet'!B20)</f>
        <v>Marc Gasol</v>
      </c>
      <c r="C20" s="28">
        <f>IF('Data Sheet'!C20="","",'Data Sheet'!C20)</f>
        <v>7300</v>
      </c>
      <c r="D20" s="28">
        <f>IF('Data Sheet'!D20="","",'Data Sheet'!D20)</f>
        <v>44.2</v>
      </c>
      <c r="E20" s="29" t="str">
        <f t="shared" si="7"/>
        <v>C</v>
      </c>
      <c r="F20" s="51">
        <v>1</v>
      </c>
      <c r="G20" s="49">
        <f t="shared" si="8"/>
        <v>0</v>
      </c>
      <c r="H20" s="49">
        <f t="shared" si="9"/>
        <v>0</v>
      </c>
      <c r="I20" s="49">
        <f t="shared" si="10"/>
        <v>1</v>
      </c>
      <c r="J20" s="49">
        <f t="shared" si="11"/>
        <v>0</v>
      </c>
      <c r="K20" s="49">
        <f t="shared" si="12"/>
        <v>0</v>
      </c>
      <c r="L20" s="49">
        <f t="shared" si="13"/>
        <v>0</v>
      </c>
      <c r="M20" s="49">
        <f t="shared" si="14"/>
        <v>0</v>
      </c>
      <c r="N20" s="29" t="str">
        <f t="shared" si="0"/>
        <v/>
      </c>
      <c r="O20" s="29">
        <f t="shared" si="1"/>
        <v>44.2</v>
      </c>
      <c r="P20" s="29">
        <f t="shared" si="2"/>
        <v>44.2</v>
      </c>
      <c r="Q20" s="29">
        <f>IF(A20&lt;&gt;"",SUM(F$2:F20),Q19)</f>
        <v>1</v>
      </c>
      <c r="R20" s="30">
        <f t="shared" si="15"/>
        <v>1</v>
      </c>
      <c r="T20" s="7">
        <v>5</v>
      </c>
      <c r="U20" s="37"/>
      <c r="V20" s="6" t="str">
        <f t="shared" si="17"/>
        <v/>
      </c>
      <c r="Z20" s="5"/>
      <c r="AA20" s="42" t="s">
        <v>74</v>
      </c>
      <c r="AB20" s="5"/>
      <c r="AC20" s="5"/>
      <c r="AD20" s="5"/>
      <c r="AE20" s="43"/>
    </row>
    <row r="21" spans="1:31" x14ac:dyDescent="0.25">
      <c r="A21" s="27" t="str">
        <f>IF('Data Sheet'!A21="","",'Data Sheet'!A21)</f>
        <v>PG</v>
      </c>
      <c r="B21" s="28" t="str">
        <f>IF('Data Sheet'!B21="","",'Data Sheet'!B21)</f>
        <v>Mario Chalmers</v>
      </c>
      <c r="C21" s="28">
        <f>IF('Data Sheet'!C21="","",'Data Sheet'!C21)</f>
        <v>4100</v>
      </c>
      <c r="D21" s="28">
        <f>IF('Data Sheet'!D21="","",'Data Sheet'!D21)</f>
        <v>15.5</v>
      </c>
      <c r="E21" s="29" t="str">
        <f t="shared" si="7"/>
        <v>G</v>
      </c>
      <c r="F21" s="51">
        <v>0</v>
      </c>
      <c r="G21" s="49">
        <f t="shared" si="8"/>
        <v>0</v>
      </c>
      <c r="H21" s="49">
        <f t="shared" si="9"/>
        <v>0</v>
      </c>
      <c r="I21" s="49">
        <f t="shared" si="10"/>
        <v>0</v>
      </c>
      <c r="J21" s="49">
        <f t="shared" si="11"/>
        <v>1</v>
      </c>
      <c r="K21" s="49">
        <f t="shared" si="12"/>
        <v>0</v>
      </c>
      <c r="L21" s="49">
        <f t="shared" si="13"/>
        <v>1</v>
      </c>
      <c r="M21" s="49">
        <f t="shared" si="14"/>
        <v>0</v>
      </c>
      <c r="N21" s="29" t="str">
        <f t="shared" si="0"/>
        <v/>
      </c>
      <c r="O21" s="29">
        <f t="shared" si="1"/>
        <v>15.5</v>
      </c>
      <c r="P21" s="29">
        <f t="shared" si="2"/>
        <v>0</v>
      </c>
      <c r="Q21" s="29">
        <f>IF(A21&lt;&gt;"",SUM(F$2:F21),Q20)</f>
        <v>1</v>
      </c>
      <c r="R21" s="30">
        <f t="shared" si="15"/>
        <v>0</v>
      </c>
      <c r="T21" s="7">
        <v>6</v>
      </c>
      <c r="U21" s="37"/>
      <c r="V21" s="6" t="str">
        <f t="shared" si="17"/>
        <v/>
      </c>
      <c r="Z21" s="5"/>
      <c r="AA21" s="42" t="s">
        <v>85</v>
      </c>
      <c r="AB21" s="5"/>
      <c r="AC21" s="5"/>
      <c r="AD21" s="5"/>
      <c r="AE21" s="43"/>
    </row>
    <row r="22" spans="1:31" x14ac:dyDescent="0.25">
      <c r="A22" s="27" t="str">
        <f>IF('Data Sheet'!A22="","",'Data Sheet'!A22)</f>
        <v>SF</v>
      </c>
      <c r="B22" s="28" t="str">
        <f>IF('Data Sheet'!B22="","",'Data Sheet'!B22)</f>
        <v>Matt Barnes</v>
      </c>
      <c r="C22" s="28">
        <f>IF('Data Sheet'!C22="","",'Data Sheet'!C22)</f>
        <v>4400</v>
      </c>
      <c r="D22" s="28">
        <f>IF('Data Sheet'!D22="","",'Data Sheet'!D22)</f>
        <v>21.799999999999997</v>
      </c>
      <c r="E22" s="29" t="str">
        <f t="shared" si="7"/>
        <v>F</v>
      </c>
      <c r="F22" s="51">
        <v>0</v>
      </c>
      <c r="G22" s="49">
        <f t="shared" si="8"/>
        <v>1</v>
      </c>
      <c r="H22" s="49">
        <f t="shared" si="9"/>
        <v>0</v>
      </c>
      <c r="I22" s="49">
        <f t="shared" si="10"/>
        <v>0</v>
      </c>
      <c r="J22" s="49">
        <f t="shared" si="11"/>
        <v>0</v>
      </c>
      <c r="K22" s="49">
        <f t="shared" si="12"/>
        <v>0</v>
      </c>
      <c r="L22" s="49">
        <f t="shared" si="13"/>
        <v>0</v>
      </c>
      <c r="M22" s="49">
        <f t="shared" si="14"/>
        <v>1</v>
      </c>
      <c r="N22" s="29" t="str">
        <f t="shared" si="0"/>
        <v/>
      </c>
      <c r="O22" s="29">
        <f t="shared" si="1"/>
        <v>21.799999999999997</v>
      </c>
      <c r="P22" s="29">
        <f t="shared" si="2"/>
        <v>0</v>
      </c>
      <c r="Q22" s="29">
        <f>IF(A22&lt;&gt;"",SUM(F$2:F22),Q21)</f>
        <v>1</v>
      </c>
      <c r="R22" s="30">
        <f t="shared" si="15"/>
        <v>0</v>
      </c>
      <c r="T22" s="7">
        <v>7</v>
      </c>
      <c r="U22" s="37"/>
      <c r="V22" s="6" t="str">
        <f t="shared" si="17"/>
        <v/>
      </c>
      <c r="Z22" s="5"/>
      <c r="AA22" s="42"/>
      <c r="AB22" s="5"/>
      <c r="AC22" s="5"/>
      <c r="AD22" s="5"/>
      <c r="AE22" s="43"/>
    </row>
    <row r="23" spans="1:31" x14ac:dyDescent="0.25">
      <c r="A23" s="27" t="str">
        <f>IF('Data Sheet'!A23="","",'Data Sheet'!A23)</f>
        <v>PG</v>
      </c>
      <c r="B23" s="28" t="str">
        <f>IF('Data Sheet'!B23="","",'Data Sheet'!B23)</f>
        <v>Mike Conley</v>
      </c>
      <c r="C23" s="28">
        <f>IF('Data Sheet'!C23="","",'Data Sheet'!C23)</f>
        <v>6700</v>
      </c>
      <c r="D23" s="28">
        <f>IF('Data Sheet'!D23="","",'Data Sheet'!D23)</f>
        <v>33.4</v>
      </c>
      <c r="E23" s="29" t="str">
        <f t="shared" si="7"/>
        <v>G</v>
      </c>
      <c r="F23" s="51">
        <v>0</v>
      </c>
      <c r="G23" s="49">
        <f t="shared" si="8"/>
        <v>0</v>
      </c>
      <c r="H23" s="49">
        <f t="shared" si="9"/>
        <v>0</v>
      </c>
      <c r="I23" s="49">
        <f t="shared" si="10"/>
        <v>0</v>
      </c>
      <c r="J23" s="49">
        <f t="shared" si="11"/>
        <v>1</v>
      </c>
      <c r="K23" s="49">
        <f t="shared" si="12"/>
        <v>0</v>
      </c>
      <c r="L23" s="49">
        <f t="shared" si="13"/>
        <v>1</v>
      </c>
      <c r="M23" s="49">
        <f t="shared" si="14"/>
        <v>0</v>
      </c>
      <c r="N23" s="29" t="str">
        <f t="shared" si="0"/>
        <v/>
      </c>
      <c r="O23" s="29">
        <f t="shared" si="1"/>
        <v>33.4</v>
      </c>
      <c r="P23" s="29">
        <f t="shared" si="2"/>
        <v>0</v>
      </c>
      <c r="Q23" s="29">
        <f>IF(A23&lt;&gt;"",SUM(F$2:F23),Q22)</f>
        <v>1</v>
      </c>
      <c r="R23" s="30">
        <f t="shared" si="15"/>
        <v>0</v>
      </c>
      <c r="T23" s="7">
        <v>8</v>
      </c>
      <c r="U23" s="37"/>
      <c r="V23" s="6" t="str">
        <f t="shared" si="17"/>
        <v/>
      </c>
      <c r="AA23" s="44" t="s">
        <v>69</v>
      </c>
      <c r="AB23" s="5"/>
      <c r="AC23" s="5"/>
      <c r="AD23" s="5"/>
      <c r="AE23" s="43"/>
    </row>
    <row r="24" spans="1:31" x14ac:dyDescent="0.25">
      <c r="A24" s="27" t="str">
        <f>IF('Data Sheet'!A24="","",'Data Sheet'!A24)</f>
        <v>PG</v>
      </c>
      <c r="B24" s="28" t="str">
        <f>IF('Data Sheet'!B24="","",'Data Sheet'!B24)</f>
        <v>Russ Smith</v>
      </c>
      <c r="C24" s="28">
        <f>IF('Data Sheet'!C24="","",'Data Sheet'!C24)</f>
        <v>3000</v>
      </c>
      <c r="D24" s="28">
        <f>IF('Data Sheet'!D24="","",'Data Sheet'!D24)</f>
        <v>0.2</v>
      </c>
      <c r="E24" s="29" t="str">
        <f t="shared" si="7"/>
        <v>G</v>
      </c>
      <c r="F24" s="51">
        <v>0</v>
      </c>
      <c r="G24" s="49">
        <f t="shared" si="8"/>
        <v>0</v>
      </c>
      <c r="H24" s="49">
        <f t="shared" si="9"/>
        <v>0</v>
      </c>
      <c r="I24" s="49">
        <f t="shared" si="10"/>
        <v>0</v>
      </c>
      <c r="J24" s="49">
        <f t="shared" si="11"/>
        <v>1</v>
      </c>
      <c r="K24" s="49">
        <f t="shared" si="12"/>
        <v>0</v>
      </c>
      <c r="L24" s="49">
        <f t="shared" si="13"/>
        <v>1</v>
      </c>
      <c r="M24" s="49">
        <f t="shared" si="14"/>
        <v>0</v>
      </c>
      <c r="N24" s="29" t="str">
        <f t="shared" si="0"/>
        <v/>
      </c>
      <c r="O24" s="29">
        <f t="shared" si="1"/>
        <v>0.2</v>
      </c>
      <c r="P24" s="29">
        <f t="shared" si="2"/>
        <v>0</v>
      </c>
      <c r="Q24" s="29">
        <f>IF(A24&lt;&gt;"",SUM(F$2:F24),Q23)</f>
        <v>1</v>
      </c>
      <c r="R24" s="30">
        <f t="shared" si="15"/>
        <v>0</v>
      </c>
      <c r="AA24" s="42" t="s">
        <v>70</v>
      </c>
      <c r="AB24" s="5"/>
      <c r="AC24" s="5"/>
      <c r="AD24" s="5"/>
      <c r="AE24" s="43"/>
    </row>
    <row r="25" spans="1:31" x14ac:dyDescent="0.25">
      <c r="A25" s="27" t="str">
        <f>IF('Data Sheet'!A25="","",'Data Sheet'!A25)</f>
        <v>SF</v>
      </c>
      <c r="B25" s="28" t="str">
        <f>IF('Data Sheet'!B25="","",'Data Sheet'!B25)</f>
        <v>Tony Allen</v>
      </c>
      <c r="C25" s="28">
        <f>IF('Data Sheet'!C25="","",'Data Sheet'!C25)</f>
        <v>3400</v>
      </c>
      <c r="D25" s="28">
        <f>IF('Data Sheet'!D25="","",'Data Sheet'!D25)</f>
        <v>12.9</v>
      </c>
      <c r="E25" s="29" t="str">
        <f t="shared" si="7"/>
        <v>F</v>
      </c>
      <c r="F25" s="51">
        <v>0</v>
      </c>
      <c r="G25" s="49">
        <f t="shared" si="8"/>
        <v>1</v>
      </c>
      <c r="H25" s="49">
        <f t="shared" si="9"/>
        <v>0</v>
      </c>
      <c r="I25" s="49">
        <f t="shared" si="10"/>
        <v>0</v>
      </c>
      <c r="J25" s="49">
        <f t="shared" si="11"/>
        <v>0</v>
      </c>
      <c r="K25" s="49">
        <f t="shared" si="12"/>
        <v>0</v>
      </c>
      <c r="L25" s="49">
        <f t="shared" si="13"/>
        <v>0</v>
      </c>
      <c r="M25" s="49">
        <f t="shared" si="14"/>
        <v>1</v>
      </c>
      <c r="N25" s="29" t="str">
        <f t="shared" si="0"/>
        <v/>
      </c>
      <c r="O25" s="29">
        <f t="shared" si="1"/>
        <v>12.9</v>
      </c>
      <c r="P25" s="29">
        <f t="shared" si="2"/>
        <v>0</v>
      </c>
      <c r="Q25" s="29">
        <f>IF(A25&lt;&gt;"",SUM(F$2:F25),Q24)</f>
        <v>1</v>
      </c>
      <c r="R25" s="30">
        <f t="shared" si="15"/>
        <v>0</v>
      </c>
      <c r="AA25" s="42" t="s">
        <v>71</v>
      </c>
      <c r="AB25" s="5"/>
      <c r="AC25" s="5"/>
      <c r="AD25" s="5"/>
      <c r="AE25" s="43"/>
    </row>
    <row r="26" spans="1:31" x14ac:dyDescent="0.25">
      <c r="A26" s="27" t="str">
        <f>IF('Data Sheet'!A26="","",'Data Sheet'!A26)</f>
        <v>SG</v>
      </c>
      <c r="B26" s="28" t="str">
        <f>IF('Data Sheet'!B26="","",'Data Sheet'!B26)</f>
        <v>Vince Carter</v>
      </c>
      <c r="C26" s="28">
        <f>IF('Data Sheet'!C26="","",'Data Sheet'!C26)</f>
        <v>3000</v>
      </c>
      <c r="D26" s="28">
        <f>IF('Data Sheet'!D26="","",'Data Sheet'!D26)</f>
        <v>9.6999999999999993</v>
      </c>
      <c r="E26" s="29" t="str">
        <f t="shared" si="7"/>
        <v>G</v>
      </c>
      <c r="F26" s="51">
        <v>0</v>
      </c>
      <c r="G26" s="49">
        <f t="shared" si="8"/>
        <v>0</v>
      </c>
      <c r="H26" s="49">
        <f t="shared" si="9"/>
        <v>1</v>
      </c>
      <c r="I26" s="49">
        <f t="shared" si="10"/>
        <v>0</v>
      </c>
      <c r="J26" s="49">
        <f t="shared" si="11"/>
        <v>0</v>
      </c>
      <c r="K26" s="49">
        <f t="shared" si="12"/>
        <v>0</v>
      </c>
      <c r="L26" s="49">
        <f t="shared" si="13"/>
        <v>1</v>
      </c>
      <c r="M26" s="49">
        <f t="shared" si="14"/>
        <v>0</v>
      </c>
      <c r="N26" s="29" t="str">
        <f t="shared" si="0"/>
        <v/>
      </c>
      <c r="O26" s="29">
        <f t="shared" si="1"/>
        <v>9.6999999999999993</v>
      </c>
      <c r="P26" s="29">
        <f t="shared" si="2"/>
        <v>0</v>
      </c>
      <c r="Q26" s="29">
        <f>IF(A26&lt;&gt;"",SUM(F$2:F26),Q25)</f>
        <v>1</v>
      </c>
      <c r="R26" s="30">
        <f t="shared" si="15"/>
        <v>0</v>
      </c>
      <c r="AA26" s="45" t="s">
        <v>72</v>
      </c>
      <c r="AB26" s="5"/>
      <c r="AC26" s="5"/>
      <c r="AD26" s="5"/>
      <c r="AE26" s="43"/>
    </row>
    <row r="27" spans="1:31" x14ac:dyDescent="0.25">
      <c r="A27" s="27" t="str">
        <f>IF('Data Sheet'!A27="","",'Data Sheet'!A27)</f>
        <v>PF</v>
      </c>
      <c r="B27" s="28" t="str">
        <f>IF('Data Sheet'!B27="","",'Data Sheet'!B27)</f>
        <v>Zach Randolph</v>
      </c>
      <c r="C27" s="28">
        <f>IF('Data Sheet'!C27="","",'Data Sheet'!C27)</f>
        <v>6300</v>
      </c>
      <c r="D27" s="28">
        <f>IF('Data Sheet'!D27="","",'Data Sheet'!D27)</f>
        <v>36.5</v>
      </c>
      <c r="E27" s="29" t="str">
        <f t="shared" si="7"/>
        <v>F</v>
      </c>
      <c r="F27" s="51">
        <v>1</v>
      </c>
      <c r="G27" s="49">
        <f t="shared" si="8"/>
        <v>0</v>
      </c>
      <c r="H27" s="49">
        <f t="shared" si="9"/>
        <v>0</v>
      </c>
      <c r="I27" s="49">
        <f t="shared" si="10"/>
        <v>0</v>
      </c>
      <c r="J27" s="49">
        <f t="shared" si="11"/>
        <v>0</v>
      </c>
      <c r="K27" s="49">
        <f t="shared" si="12"/>
        <v>1</v>
      </c>
      <c r="L27" s="49">
        <f t="shared" si="13"/>
        <v>0</v>
      </c>
      <c r="M27" s="49">
        <f t="shared" si="14"/>
        <v>1</v>
      </c>
      <c r="N27" s="29" t="str">
        <f t="shared" si="0"/>
        <v/>
      </c>
      <c r="O27" s="29">
        <f t="shared" si="1"/>
        <v>36.5</v>
      </c>
      <c r="P27" s="29">
        <f t="shared" si="2"/>
        <v>36.5</v>
      </c>
      <c r="Q27" s="29">
        <f>IF(A27&lt;&gt;"",SUM(F$2:F27),Q26)</f>
        <v>2</v>
      </c>
      <c r="R27" s="30">
        <f t="shared" si="15"/>
        <v>2</v>
      </c>
      <c r="AA27" s="45" t="s">
        <v>87</v>
      </c>
      <c r="AB27" s="5"/>
      <c r="AC27" s="5"/>
      <c r="AD27" s="5"/>
      <c r="AE27" s="43"/>
    </row>
    <row r="28" spans="1:31" x14ac:dyDescent="0.25">
      <c r="A28" s="27" t="str">
        <f>IF('Data Sheet'!A28="","",'Data Sheet'!A28)</f>
        <v>SG</v>
      </c>
      <c r="B28" s="28" t="str">
        <f>IF('Data Sheet'!B28="","",'Data Sheet'!B28)</f>
        <v>Andre Roberson</v>
      </c>
      <c r="C28" s="28">
        <f>IF('Data Sheet'!C28="","",'Data Sheet'!C28)</f>
        <v>3200</v>
      </c>
      <c r="D28" s="28">
        <f>IF('Data Sheet'!D28="","",'Data Sheet'!D28)</f>
        <v>16.7</v>
      </c>
      <c r="E28" s="29" t="str">
        <f t="shared" si="7"/>
        <v>G</v>
      </c>
      <c r="F28" s="51">
        <v>0</v>
      </c>
      <c r="G28" s="49">
        <f t="shared" si="8"/>
        <v>0</v>
      </c>
      <c r="H28" s="49">
        <f t="shared" si="9"/>
        <v>1</v>
      </c>
      <c r="I28" s="49">
        <f t="shared" si="10"/>
        <v>0</v>
      </c>
      <c r="J28" s="49">
        <f t="shared" si="11"/>
        <v>0</v>
      </c>
      <c r="K28" s="49">
        <f t="shared" si="12"/>
        <v>0</v>
      </c>
      <c r="L28" s="49">
        <f t="shared" si="13"/>
        <v>1</v>
      </c>
      <c r="M28" s="49">
        <f t="shared" si="14"/>
        <v>0</v>
      </c>
      <c r="N28" s="29" t="str">
        <f t="shared" si="0"/>
        <v/>
      </c>
      <c r="O28" s="29">
        <f t="shared" si="1"/>
        <v>16.7</v>
      </c>
      <c r="P28" s="29">
        <f t="shared" si="2"/>
        <v>0</v>
      </c>
      <c r="Q28" s="29">
        <f>IF(A28&lt;&gt;"",SUM(F$2:F28),Q27)</f>
        <v>2</v>
      </c>
      <c r="R28" s="30">
        <f t="shared" si="15"/>
        <v>0</v>
      </c>
      <c r="AA28" s="46" t="s">
        <v>88</v>
      </c>
      <c r="AB28" s="47"/>
      <c r="AC28" s="47"/>
      <c r="AD28" s="47"/>
      <c r="AE28" s="48"/>
    </row>
    <row r="29" spans="1:31" x14ac:dyDescent="0.25">
      <c r="A29" s="27" t="str">
        <f>IF('Data Sheet'!A29="","",'Data Sheet'!A29)</f>
        <v>SG</v>
      </c>
      <c r="B29" s="28" t="str">
        <f>IF('Data Sheet'!B29="","",'Data Sheet'!B29)</f>
        <v>Anthony Morrow</v>
      </c>
      <c r="C29" s="28">
        <f>IF('Data Sheet'!C29="","",'Data Sheet'!C29)</f>
        <v>3100</v>
      </c>
      <c r="D29" s="28">
        <f>IF('Data Sheet'!D29="","",'Data Sheet'!D29)</f>
        <v>12.6</v>
      </c>
      <c r="E29" s="29" t="str">
        <f t="shared" si="7"/>
        <v>G</v>
      </c>
      <c r="F29" s="51">
        <v>0</v>
      </c>
      <c r="G29" s="49">
        <f t="shared" si="8"/>
        <v>0</v>
      </c>
      <c r="H29" s="49">
        <f t="shared" si="9"/>
        <v>1</v>
      </c>
      <c r="I29" s="49">
        <f t="shared" si="10"/>
        <v>0</v>
      </c>
      <c r="J29" s="49">
        <f t="shared" si="11"/>
        <v>0</v>
      </c>
      <c r="K29" s="49">
        <f t="shared" si="12"/>
        <v>0</v>
      </c>
      <c r="L29" s="49">
        <f t="shared" si="13"/>
        <v>1</v>
      </c>
      <c r="M29" s="49">
        <f t="shared" si="14"/>
        <v>0</v>
      </c>
      <c r="N29" s="29" t="str">
        <f t="shared" si="0"/>
        <v/>
      </c>
      <c r="O29" s="29">
        <f t="shared" si="1"/>
        <v>12.6</v>
      </c>
      <c r="P29" s="29">
        <f t="shared" si="2"/>
        <v>0</v>
      </c>
      <c r="Q29" s="29">
        <f>IF(A29&lt;&gt;"",SUM(F$2:F29),Q28)</f>
        <v>2</v>
      </c>
      <c r="R29" s="30">
        <f t="shared" si="15"/>
        <v>0</v>
      </c>
    </row>
    <row r="30" spans="1:31" x14ac:dyDescent="0.25">
      <c r="A30" s="27" t="str">
        <f>IF('Data Sheet'!A30="","",'Data Sheet'!A30)</f>
        <v>PG</v>
      </c>
      <c r="B30" s="28" t="str">
        <f>IF('Data Sheet'!B30="","",'Data Sheet'!B30)</f>
        <v>Cameron Payne</v>
      </c>
      <c r="C30" s="28">
        <f>IF('Data Sheet'!C30="","",'Data Sheet'!C30)</f>
        <v>3000</v>
      </c>
      <c r="D30" s="28">
        <f>IF('Data Sheet'!D30="","",'Data Sheet'!D30)</f>
        <v>0</v>
      </c>
      <c r="E30" s="29" t="str">
        <f t="shared" si="7"/>
        <v>G</v>
      </c>
      <c r="F30" s="51">
        <v>0</v>
      </c>
      <c r="G30" s="49">
        <f t="shared" si="8"/>
        <v>0</v>
      </c>
      <c r="H30" s="49">
        <f t="shared" si="9"/>
        <v>0</v>
      </c>
      <c r="I30" s="49">
        <f t="shared" si="10"/>
        <v>0</v>
      </c>
      <c r="J30" s="49">
        <f t="shared" si="11"/>
        <v>1</v>
      </c>
      <c r="K30" s="49">
        <f t="shared" si="12"/>
        <v>0</v>
      </c>
      <c r="L30" s="49">
        <f t="shared" si="13"/>
        <v>1</v>
      </c>
      <c r="M30" s="49">
        <f t="shared" si="14"/>
        <v>0</v>
      </c>
      <c r="N30" s="29" t="str">
        <f t="shared" si="0"/>
        <v/>
      </c>
      <c r="O30" s="29">
        <f t="shared" si="1"/>
        <v>0</v>
      </c>
      <c r="P30" s="29">
        <f t="shared" si="2"/>
        <v>0</v>
      </c>
      <c r="Q30" s="29">
        <f>IF(A30&lt;&gt;"",SUM(F$2:F30),Q29)</f>
        <v>2</v>
      </c>
      <c r="R30" s="30">
        <f t="shared" si="15"/>
        <v>0</v>
      </c>
    </row>
    <row r="31" spans="1:31" x14ac:dyDescent="0.25">
      <c r="A31" s="27" t="str">
        <f>IF('Data Sheet'!A31="","",'Data Sheet'!A31)</f>
        <v>PG</v>
      </c>
      <c r="B31" s="28" t="str">
        <f>IF('Data Sheet'!B31="","",'Data Sheet'!B31)</f>
        <v>D.J. Augustin</v>
      </c>
      <c r="C31" s="28">
        <f>IF('Data Sheet'!C31="","",'Data Sheet'!C31)</f>
        <v>3100</v>
      </c>
      <c r="D31" s="28">
        <f>IF('Data Sheet'!D31="","",'Data Sheet'!D31)</f>
        <v>9.6000000000000014</v>
      </c>
      <c r="E31" s="29" t="str">
        <f t="shared" si="7"/>
        <v>G</v>
      </c>
      <c r="F31" s="51">
        <v>0</v>
      </c>
      <c r="G31" s="49">
        <f t="shared" si="8"/>
        <v>0</v>
      </c>
      <c r="H31" s="49">
        <f t="shared" si="9"/>
        <v>0</v>
      </c>
      <c r="I31" s="49">
        <f t="shared" si="10"/>
        <v>0</v>
      </c>
      <c r="J31" s="49">
        <f t="shared" si="11"/>
        <v>1</v>
      </c>
      <c r="K31" s="49">
        <f t="shared" si="12"/>
        <v>0</v>
      </c>
      <c r="L31" s="49">
        <f t="shared" si="13"/>
        <v>1</v>
      </c>
      <c r="M31" s="49">
        <f t="shared" si="14"/>
        <v>0</v>
      </c>
      <c r="N31" s="29" t="str">
        <f t="shared" si="0"/>
        <v/>
      </c>
      <c r="O31" s="29">
        <f t="shared" si="1"/>
        <v>9.6000000000000014</v>
      </c>
      <c r="P31" s="29">
        <f t="shared" si="2"/>
        <v>0</v>
      </c>
      <c r="Q31" s="29">
        <f>IF(A31&lt;&gt;"",SUM(F$2:F31),Q30)</f>
        <v>2</v>
      </c>
      <c r="R31" s="30">
        <f t="shared" si="15"/>
        <v>0</v>
      </c>
    </row>
    <row r="32" spans="1:31" x14ac:dyDescent="0.25">
      <c r="A32" s="27" t="str">
        <f>IF('Data Sheet'!A32="","",'Data Sheet'!A32)</f>
        <v>SG</v>
      </c>
      <c r="B32" s="28" t="str">
        <f>IF('Data Sheet'!B32="","",'Data Sheet'!B32)</f>
        <v>Dion Waiters</v>
      </c>
      <c r="C32" s="28">
        <f>IF('Data Sheet'!C32="","",'Data Sheet'!C32)</f>
        <v>4100</v>
      </c>
      <c r="D32" s="28">
        <f>IF('Data Sheet'!D32="","",'Data Sheet'!D32)</f>
        <v>22.1</v>
      </c>
      <c r="E32" s="29" t="str">
        <f t="shared" si="7"/>
        <v>G</v>
      </c>
      <c r="F32" s="51">
        <v>0</v>
      </c>
      <c r="G32" s="49">
        <f t="shared" si="8"/>
        <v>0</v>
      </c>
      <c r="H32" s="49">
        <f t="shared" si="9"/>
        <v>1</v>
      </c>
      <c r="I32" s="49">
        <f t="shared" si="10"/>
        <v>0</v>
      </c>
      <c r="J32" s="49">
        <f t="shared" si="11"/>
        <v>0</v>
      </c>
      <c r="K32" s="49">
        <f t="shared" si="12"/>
        <v>0</v>
      </c>
      <c r="L32" s="49">
        <f t="shared" si="13"/>
        <v>1</v>
      </c>
      <c r="M32" s="49">
        <f t="shared" si="14"/>
        <v>0</v>
      </c>
      <c r="N32" s="29" t="str">
        <f t="shared" si="0"/>
        <v/>
      </c>
      <c r="O32" s="29">
        <f t="shared" si="1"/>
        <v>22.1</v>
      </c>
      <c r="P32" s="29">
        <f t="shared" si="2"/>
        <v>0</v>
      </c>
      <c r="Q32" s="29">
        <f>IF(A32&lt;&gt;"",SUM(F$2:F32),Q31)</f>
        <v>2</v>
      </c>
      <c r="R32" s="30">
        <f t="shared" si="15"/>
        <v>0</v>
      </c>
    </row>
    <row r="33" spans="1:18" x14ac:dyDescent="0.25">
      <c r="A33" s="27" t="str">
        <f>IF('Data Sheet'!A33="","",'Data Sheet'!A33)</f>
        <v>C</v>
      </c>
      <c r="B33" s="28" t="str">
        <f>IF('Data Sheet'!B33="","",'Data Sheet'!B33)</f>
        <v>Enes Kanter</v>
      </c>
      <c r="C33" s="28">
        <f>IF('Data Sheet'!C33="","",'Data Sheet'!C33)</f>
        <v>4500</v>
      </c>
      <c r="D33" s="28">
        <f>IF('Data Sheet'!D33="","",'Data Sheet'!D33)</f>
        <v>23.4</v>
      </c>
      <c r="E33" s="29" t="str">
        <f t="shared" si="7"/>
        <v>C</v>
      </c>
      <c r="F33" s="51">
        <v>0</v>
      </c>
      <c r="G33" s="49">
        <f t="shared" si="8"/>
        <v>0</v>
      </c>
      <c r="H33" s="49">
        <f t="shared" si="9"/>
        <v>0</v>
      </c>
      <c r="I33" s="49">
        <f t="shared" si="10"/>
        <v>1</v>
      </c>
      <c r="J33" s="49">
        <f t="shared" si="11"/>
        <v>0</v>
      </c>
      <c r="K33" s="49">
        <f t="shared" si="12"/>
        <v>0</v>
      </c>
      <c r="L33" s="49">
        <f t="shared" si="13"/>
        <v>0</v>
      </c>
      <c r="M33" s="49">
        <f t="shared" si="14"/>
        <v>0</v>
      </c>
      <c r="N33" s="29" t="str">
        <f t="shared" si="0"/>
        <v/>
      </c>
      <c r="O33" s="29">
        <f t="shared" si="1"/>
        <v>23.4</v>
      </c>
      <c r="P33" s="29">
        <f t="shared" si="2"/>
        <v>0</v>
      </c>
      <c r="Q33" s="29">
        <f>IF(A33&lt;&gt;"",SUM(F$2:F33),Q32)</f>
        <v>2</v>
      </c>
      <c r="R33" s="30">
        <f t="shared" si="15"/>
        <v>0</v>
      </c>
    </row>
    <row r="34" spans="1:18" x14ac:dyDescent="0.25">
      <c r="A34" s="27" t="str">
        <f>IF('Data Sheet'!A34="","",'Data Sheet'!A34)</f>
        <v>SF</v>
      </c>
      <c r="B34" s="28" t="str">
        <f>IF('Data Sheet'!B34="","",'Data Sheet'!B34)</f>
        <v>Kevin Durant</v>
      </c>
      <c r="C34" s="28">
        <f>IF('Data Sheet'!C34="","",'Data Sheet'!C34)</f>
        <v>10100</v>
      </c>
      <c r="D34" s="28">
        <f>IF('Data Sheet'!D34="","",'Data Sheet'!D34)</f>
        <v>51.2</v>
      </c>
      <c r="E34" s="29" t="str">
        <f t="shared" si="7"/>
        <v>F</v>
      </c>
      <c r="F34" s="51">
        <v>0</v>
      </c>
      <c r="G34" s="49">
        <f t="shared" si="8"/>
        <v>1</v>
      </c>
      <c r="H34" s="49">
        <f t="shared" si="9"/>
        <v>0</v>
      </c>
      <c r="I34" s="49">
        <f t="shared" si="10"/>
        <v>0</v>
      </c>
      <c r="J34" s="49">
        <f t="shared" si="11"/>
        <v>0</v>
      </c>
      <c r="K34" s="49">
        <f t="shared" si="12"/>
        <v>0</v>
      </c>
      <c r="L34" s="49">
        <f t="shared" si="13"/>
        <v>0</v>
      </c>
      <c r="M34" s="49">
        <f t="shared" si="14"/>
        <v>1</v>
      </c>
      <c r="N34" s="29" t="str">
        <f t="shared" si="0"/>
        <v/>
      </c>
      <c r="O34" s="29">
        <f t="shared" si="1"/>
        <v>51.2</v>
      </c>
      <c r="P34" s="29">
        <f t="shared" si="2"/>
        <v>0</v>
      </c>
      <c r="Q34" s="29">
        <f>IF(A34&lt;&gt;"",SUM(F$2:F34),Q33)</f>
        <v>2</v>
      </c>
      <c r="R34" s="30">
        <f t="shared" si="15"/>
        <v>0</v>
      </c>
    </row>
    <row r="35" spans="1:18" x14ac:dyDescent="0.25">
      <c r="A35" s="27" t="str">
        <f>IF('Data Sheet'!A35="","",'Data Sheet'!A35)</f>
        <v>SF</v>
      </c>
      <c r="B35" s="28" t="str">
        <f>IF('Data Sheet'!B35="","",'Data Sheet'!B35)</f>
        <v>Kyle Singler</v>
      </c>
      <c r="C35" s="28">
        <f>IF('Data Sheet'!C35="","",'Data Sheet'!C35)</f>
        <v>3000</v>
      </c>
      <c r="D35" s="28">
        <f>IF('Data Sheet'!D35="","",'Data Sheet'!D35)</f>
        <v>6.2</v>
      </c>
      <c r="E35" s="29" t="str">
        <f t="shared" si="7"/>
        <v>F</v>
      </c>
      <c r="F35" s="51">
        <v>0</v>
      </c>
      <c r="G35" s="49">
        <f t="shared" si="8"/>
        <v>1</v>
      </c>
      <c r="H35" s="49">
        <f t="shared" si="9"/>
        <v>0</v>
      </c>
      <c r="I35" s="49">
        <f t="shared" si="10"/>
        <v>0</v>
      </c>
      <c r="J35" s="49">
        <f t="shared" si="11"/>
        <v>0</v>
      </c>
      <c r="K35" s="49">
        <f t="shared" si="12"/>
        <v>0</v>
      </c>
      <c r="L35" s="49">
        <f t="shared" si="13"/>
        <v>0</v>
      </c>
      <c r="M35" s="49">
        <f t="shared" si="14"/>
        <v>1</v>
      </c>
      <c r="N35" s="29" t="str">
        <f t="shared" si="0"/>
        <v/>
      </c>
      <c r="O35" s="29">
        <f t="shared" si="1"/>
        <v>6.2</v>
      </c>
      <c r="P35" s="29">
        <f t="shared" si="2"/>
        <v>0</v>
      </c>
      <c r="Q35" s="29">
        <f>IF(A35&lt;&gt;"",SUM(F$2:F35),Q34)</f>
        <v>2</v>
      </c>
      <c r="R35" s="30">
        <f t="shared" si="15"/>
        <v>0</v>
      </c>
    </row>
    <row r="36" spans="1:18" x14ac:dyDescent="0.25">
      <c r="A36" s="27" t="str">
        <f>IF('Data Sheet'!A36="","",'Data Sheet'!A36)</f>
        <v>PF</v>
      </c>
      <c r="B36" s="28" t="str">
        <f>IF('Data Sheet'!B36="","",'Data Sheet'!B36)</f>
        <v>Mitch McGary</v>
      </c>
      <c r="C36" s="28">
        <f>IF('Data Sheet'!C36="","",'Data Sheet'!C36)</f>
        <v>3000</v>
      </c>
      <c r="D36" s="28">
        <f>IF('Data Sheet'!D36="","",'Data Sheet'!D36)</f>
        <v>0</v>
      </c>
      <c r="E36" s="29" t="str">
        <f t="shared" si="7"/>
        <v>F</v>
      </c>
      <c r="F36" s="51">
        <v>0</v>
      </c>
      <c r="G36" s="49">
        <f t="shared" si="8"/>
        <v>0</v>
      </c>
      <c r="H36" s="49">
        <f t="shared" si="9"/>
        <v>0</v>
      </c>
      <c r="I36" s="49">
        <f t="shared" si="10"/>
        <v>0</v>
      </c>
      <c r="J36" s="49">
        <f t="shared" si="11"/>
        <v>0</v>
      </c>
      <c r="K36" s="49">
        <f t="shared" si="12"/>
        <v>1</v>
      </c>
      <c r="L36" s="49">
        <f t="shared" si="13"/>
        <v>0</v>
      </c>
      <c r="M36" s="49">
        <f t="shared" si="14"/>
        <v>1</v>
      </c>
      <c r="N36" s="29" t="str">
        <f t="shared" si="0"/>
        <v/>
      </c>
      <c r="O36" s="29">
        <f t="shared" si="1"/>
        <v>0</v>
      </c>
      <c r="P36" s="29">
        <f t="shared" si="2"/>
        <v>0</v>
      </c>
      <c r="Q36" s="29">
        <f>IF(A36&lt;&gt;"",SUM(F$2:F36),Q35)</f>
        <v>2</v>
      </c>
      <c r="R36" s="30">
        <f t="shared" si="15"/>
        <v>0</v>
      </c>
    </row>
    <row r="37" spans="1:18" x14ac:dyDescent="0.25">
      <c r="A37" s="27" t="str">
        <f>IF('Data Sheet'!A37="","",'Data Sheet'!A37)</f>
        <v>C</v>
      </c>
      <c r="B37" s="28" t="str">
        <f>IF('Data Sheet'!B37="","",'Data Sheet'!B37)</f>
        <v>Nick Collison</v>
      </c>
      <c r="C37" s="28">
        <f>IF('Data Sheet'!C37="","",'Data Sheet'!C37)</f>
        <v>3000</v>
      </c>
      <c r="D37" s="28">
        <f>IF('Data Sheet'!D37="","",'Data Sheet'!D37)</f>
        <v>7.1</v>
      </c>
      <c r="E37" s="29" t="str">
        <f t="shared" si="7"/>
        <v>C</v>
      </c>
      <c r="F37" s="51">
        <v>0</v>
      </c>
      <c r="G37" s="49">
        <f t="shared" si="8"/>
        <v>0</v>
      </c>
      <c r="H37" s="49">
        <f t="shared" si="9"/>
        <v>0</v>
      </c>
      <c r="I37" s="49">
        <f t="shared" si="10"/>
        <v>1</v>
      </c>
      <c r="J37" s="49">
        <f t="shared" si="11"/>
        <v>0</v>
      </c>
      <c r="K37" s="49">
        <f t="shared" si="12"/>
        <v>0</v>
      </c>
      <c r="L37" s="49">
        <f t="shared" si="13"/>
        <v>0</v>
      </c>
      <c r="M37" s="49">
        <f t="shared" si="14"/>
        <v>0</v>
      </c>
      <c r="N37" s="29" t="str">
        <f t="shared" si="0"/>
        <v/>
      </c>
      <c r="O37" s="29">
        <f t="shared" si="1"/>
        <v>7.1</v>
      </c>
      <c r="P37" s="29">
        <f t="shared" si="2"/>
        <v>0</v>
      </c>
      <c r="Q37" s="29">
        <f>IF(A37&lt;&gt;"",SUM(F$2:F37),Q36)</f>
        <v>2</v>
      </c>
      <c r="R37" s="30">
        <f t="shared" si="15"/>
        <v>0</v>
      </c>
    </row>
    <row r="38" spans="1:18" x14ac:dyDescent="0.25">
      <c r="A38" s="27" t="str">
        <f>IF('Data Sheet'!A38="","",'Data Sheet'!A38)</f>
        <v>PG</v>
      </c>
      <c r="B38" s="28" t="str">
        <f>IF('Data Sheet'!B38="","",'Data Sheet'!B38)</f>
        <v>Russell Westbrook</v>
      </c>
      <c r="C38" s="28">
        <f>IF('Data Sheet'!C38="","",'Data Sheet'!C38)</f>
        <v>10400</v>
      </c>
      <c r="D38" s="28">
        <f>IF('Data Sheet'!D38="","",'Data Sheet'!D38)</f>
        <v>46.400000000000006</v>
      </c>
      <c r="E38" s="29" t="str">
        <f t="shared" si="7"/>
        <v>G</v>
      </c>
      <c r="F38" s="51">
        <v>0</v>
      </c>
      <c r="G38" s="49">
        <f t="shared" si="8"/>
        <v>0</v>
      </c>
      <c r="H38" s="49">
        <f t="shared" si="9"/>
        <v>0</v>
      </c>
      <c r="I38" s="49">
        <f t="shared" si="10"/>
        <v>0</v>
      </c>
      <c r="J38" s="49">
        <f t="shared" si="11"/>
        <v>1</v>
      </c>
      <c r="K38" s="49">
        <f t="shared" si="12"/>
        <v>0</v>
      </c>
      <c r="L38" s="49">
        <f t="shared" si="13"/>
        <v>1</v>
      </c>
      <c r="M38" s="49">
        <f t="shared" si="14"/>
        <v>0</v>
      </c>
      <c r="N38" s="29" t="str">
        <f t="shared" si="0"/>
        <v/>
      </c>
      <c r="O38" s="29">
        <f t="shared" si="1"/>
        <v>46.400000000000006</v>
      </c>
      <c r="P38" s="29">
        <f t="shared" si="2"/>
        <v>0</v>
      </c>
      <c r="Q38" s="29">
        <f>IF(A38&lt;&gt;"",SUM(F$2:F38),Q37)</f>
        <v>2</v>
      </c>
      <c r="R38" s="30">
        <f t="shared" si="15"/>
        <v>0</v>
      </c>
    </row>
    <row r="39" spans="1:18" x14ac:dyDescent="0.25">
      <c r="A39" s="27" t="str">
        <f>IF('Data Sheet'!A39="","",'Data Sheet'!A39)</f>
        <v>PF</v>
      </c>
      <c r="B39" s="28" t="str">
        <f>IF('Data Sheet'!B39="","",'Data Sheet'!B39)</f>
        <v>Serge Ibaka</v>
      </c>
      <c r="C39" s="28">
        <f>IF('Data Sheet'!C39="","",'Data Sheet'!C39)</f>
        <v>6200</v>
      </c>
      <c r="D39" s="28">
        <f>IF('Data Sheet'!D39="","",'Data Sheet'!D39)</f>
        <v>31.9</v>
      </c>
      <c r="E39" s="29" t="str">
        <f t="shared" si="7"/>
        <v>F</v>
      </c>
      <c r="F39" s="51">
        <v>0</v>
      </c>
      <c r="G39" s="49">
        <f t="shared" si="8"/>
        <v>0</v>
      </c>
      <c r="H39" s="49">
        <f t="shared" si="9"/>
        <v>0</v>
      </c>
      <c r="I39" s="49">
        <f t="shared" si="10"/>
        <v>0</v>
      </c>
      <c r="J39" s="49">
        <f t="shared" si="11"/>
        <v>0</v>
      </c>
      <c r="K39" s="49">
        <f t="shared" si="12"/>
        <v>1</v>
      </c>
      <c r="L39" s="49">
        <f t="shared" si="13"/>
        <v>0</v>
      </c>
      <c r="M39" s="49">
        <f t="shared" si="14"/>
        <v>1</v>
      </c>
      <c r="N39" s="29" t="str">
        <f t="shared" si="0"/>
        <v/>
      </c>
      <c r="O39" s="29">
        <f t="shared" si="1"/>
        <v>31.9</v>
      </c>
      <c r="P39" s="29">
        <f t="shared" si="2"/>
        <v>0</v>
      </c>
      <c r="Q39" s="29">
        <f>IF(A39&lt;&gt;"",SUM(F$2:F39),Q38)</f>
        <v>2</v>
      </c>
      <c r="R39" s="30">
        <f t="shared" si="15"/>
        <v>0</v>
      </c>
    </row>
    <row r="40" spans="1:18" x14ac:dyDescent="0.25">
      <c r="A40" s="27" t="str">
        <f>IF('Data Sheet'!A40="","",'Data Sheet'!A40)</f>
        <v>SF</v>
      </c>
      <c r="B40" s="28" t="str">
        <f>IF('Data Sheet'!B40="","",'Data Sheet'!B40)</f>
        <v>Steve Novak</v>
      </c>
      <c r="C40" s="28">
        <f>IF('Data Sheet'!C40="","",'Data Sheet'!C40)</f>
        <v>3000</v>
      </c>
      <c r="D40" s="28">
        <f>IF('Data Sheet'!D40="","",'Data Sheet'!D40)</f>
        <v>0</v>
      </c>
      <c r="E40" s="29" t="str">
        <f t="shared" si="7"/>
        <v>F</v>
      </c>
      <c r="F40" s="51">
        <v>0</v>
      </c>
      <c r="G40" s="49">
        <f t="shared" si="8"/>
        <v>1</v>
      </c>
      <c r="H40" s="49">
        <f t="shared" si="9"/>
        <v>0</v>
      </c>
      <c r="I40" s="49">
        <f t="shared" si="10"/>
        <v>0</v>
      </c>
      <c r="J40" s="49">
        <f t="shared" si="11"/>
        <v>0</v>
      </c>
      <c r="K40" s="49">
        <f t="shared" si="12"/>
        <v>0</v>
      </c>
      <c r="L40" s="49">
        <f t="shared" si="13"/>
        <v>0</v>
      </c>
      <c r="M40" s="49">
        <f t="shared" si="14"/>
        <v>1</v>
      </c>
      <c r="N40" s="29" t="str">
        <f t="shared" si="0"/>
        <v/>
      </c>
      <c r="O40" s="29">
        <f t="shared" si="1"/>
        <v>0</v>
      </c>
      <c r="P40" s="29">
        <f t="shared" si="2"/>
        <v>0</v>
      </c>
      <c r="Q40" s="29">
        <f>IF(A40&lt;&gt;"",SUM(F$2:F40),Q39)</f>
        <v>2</v>
      </c>
      <c r="R40" s="30">
        <f t="shared" si="15"/>
        <v>0</v>
      </c>
    </row>
    <row r="41" spans="1:18" x14ac:dyDescent="0.25">
      <c r="A41" s="27" t="str">
        <f>IF('Data Sheet'!A41="","",'Data Sheet'!A41)</f>
        <v>C</v>
      </c>
      <c r="B41" s="28" t="str">
        <f>IF('Data Sheet'!B41="","",'Data Sheet'!B41)</f>
        <v>Steven Adams</v>
      </c>
      <c r="C41" s="28">
        <f>IF('Data Sheet'!C41="","",'Data Sheet'!C41)</f>
        <v>3800</v>
      </c>
      <c r="D41" s="28">
        <f>IF('Data Sheet'!D41="","",'Data Sheet'!D41)</f>
        <v>16.8</v>
      </c>
      <c r="E41" s="29" t="str">
        <f t="shared" si="7"/>
        <v>C</v>
      </c>
      <c r="F41" s="51">
        <v>0</v>
      </c>
      <c r="G41" s="49">
        <f t="shared" si="8"/>
        <v>0</v>
      </c>
      <c r="H41" s="49">
        <f t="shared" si="9"/>
        <v>0</v>
      </c>
      <c r="I41" s="49">
        <f t="shared" si="10"/>
        <v>1</v>
      </c>
      <c r="J41" s="49">
        <f t="shared" si="11"/>
        <v>0</v>
      </c>
      <c r="K41" s="49">
        <f t="shared" si="12"/>
        <v>0</v>
      </c>
      <c r="L41" s="49">
        <f t="shared" si="13"/>
        <v>0</v>
      </c>
      <c r="M41" s="49">
        <f t="shared" si="14"/>
        <v>0</v>
      </c>
      <c r="N41" s="29" t="str">
        <f t="shared" si="0"/>
        <v/>
      </c>
      <c r="O41" s="29">
        <f t="shared" si="1"/>
        <v>16.8</v>
      </c>
      <c r="P41" s="29">
        <f t="shared" si="2"/>
        <v>0</v>
      </c>
      <c r="Q41" s="29">
        <f>IF(A41&lt;&gt;"",SUM(F$2:F41),Q40)</f>
        <v>2</v>
      </c>
      <c r="R41" s="30">
        <f t="shared" si="15"/>
        <v>0</v>
      </c>
    </row>
    <row r="42" spans="1:18" x14ac:dyDescent="0.25">
      <c r="A42" s="27" t="str">
        <f>IF('Data Sheet'!A42="","",'Data Sheet'!A42)</f>
        <v>SF</v>
      </c>
      <c r="B42" s="28" t="str">
        <f>IF('Data Sheet'!B42="","",'Data Sheet'!B42)</f>
        <v>Aaron Gordon</v>
      </c>
      <c r="C42" s="28">
        <f>IF('Data Sheet'!C42="","",'Data Sheet'!C42)</f>
        <v>3900</v>
      </c>
      <c r="D42" s="28">
        <f>IF('Data Sheet'!D42="","",'Data Sheet'!D42)</f>
        <v>16.600000000000001</v>
      </c>
      <c r="E42" s="29" t="str">
        <f t="shared" si="7"/>
        <v>F</v>
      </c>
      <c r="F42" s="51">
        <v>0</v>
      </c>
      <c r="G42" s="49">
        <f t="shared" si="8"/>
        <v>1</v>
      </c>
      <c r="H42" s="49">
        <f t="shared" si="9"/>
        <v>0</v>
      </c>
      <c r="I42" s="49">
        <f t="shared" si="10"/>
        <v>0</v>
      </c>
      <c r="J42" s="49">
        <f t="shared" si="11"/>
        <v>0</v>
      </c>
      <c r="K42" s="49">
        <f t="shared" si="12"/>
        <v>0</v>
      </c>
      <c r="L42" s="49">
        <f t="shared" si="13"/>
        <v>0</v>
      </c>
      <c r="M42" s="49">
        <f t="shared" si="14"/>
        <v>1</v>
      </c>
      <c r="N42" s="29" t="str">
        <f t="shared" si="0"/>
        <v/>
      </c>
      <c r="O42" s="29">
        <f t="shared" si="1"/>
        <v>16.600000000000001</v>
      </c>
      <c r="P42" s="29">
        <f t="shared" si="2"/>
        <v>0</v>
      </c>
      <c r="Q42" s="29">
        <f>IF(A42&lt;&gt;"",SUM(F$2:F42),Q41)</f>
        <v>2</v>
      </c>
      <c r="R42" s="30">
        <f t="shared" si="15"/>
        <v>0</v>
      </c>
    </row>
    <row r="43" spans="1:18" x14ac:dyDescent="0.25">
      <c r="A43" s="27" t="str">
        <f>IF('Data Sheet'!A43="","",'Data Sheet'!A43)</f>
        <v>PF</v>
      </c>
      <c r="B43" s="28" t="str">
        <f>IF('Data Sheet'!B43="","",'Data Sheet'!B43)</f>
        <v>Andrew Nicholson</v>
      </c>
      <c r="C43" s="28">
        <f>IF('Data Sheet'!C43="","",'Data Sheet'!C43)</f>
        <v>4000</v>
      </c>
      <c r="D43" s="28">
        <f>IF('Data Sheet'!D43="","",'Data Sheet'!D43)</f>
        <v>5.8</v>
      </c>
      <c r="E43" s="29" t="str">
        <f t="shared" si="7"/>
        <v>F</v>
      </c>
      <c r="F43" s="51">
        <v>0</v>
      </c>
      <c r="G43" s="49">
        <f t="shared" si="8"/>
        <v>0</v>
      </c>
      <c r="H43" s="49">
        <f t="shared" si="9"/>
        <v>0</v>
      </c>
      <c r="I43" s="49">
        <f t="shared" si="10"/>
        <v>0</v>
      </c>
      <c r="J43" s="49">
        <f t="shared" si="11"/>
        <v>0</v>
      </c>
      <c r="K43" s="49">
        <f t="shared" si="12"/>
        <v>1</v>
      </c>
      <c r="L43" s="49">
        <f t="shared" si="13"/>
        <v>0</v>
      </c>
      <c r="M43" s="49">
        <f t="shared" si="14"/>
        <v>1</v>
      </c>
      <c r="N43" s="29" t="str">
        <f t="shared" si="0"/>
        <v/>
      </c>
      <c r="O43" s="29">
        <f t="shared" si="1"/>
        <v>5.8</v>
      </c>
      <c r="P43" s="29">
        <f t="shared" si="2"/>
        <v>0</v>
      </c>
      <c r="Q43" s="29">
        <f>IF(A43&lt;&gt;"",SUM(F$2:F43),Q42)</f>
        <v>2</v>
      </c>
      <c r="R43" s="30">
        <f t="shared" si="15"/>
        <v>0</v>
      </c>
    </row>
    <row r="44" spans="1:18" x14ac:dyDescent="0.25">
      <c r="A44" s="27" t="str">
        <f>IF('Data Sheet'!A44="","",'Data Sheet'!A44)</f>
        <v>PG</v>
      </c>
      <c r="B44" s="28" t="str">
        <f>IF('Data Sheet'!B44="","",'Data Sheet'!B44)</f>
        <v>C.J. Watson</v>
      </c>
      <c r="C44" s="28">
        <f>IF('Data Sheet'!C44="","",'Data Sheet'!C44)</f>
        <v>3100</v>
      </c>
      <c r="D44" s="28">
        <f>IF('Data Sheet'!D44="","",'Data Sheet'!D44)</f>
        <v>0</v>
      </c>
      <c r="E44" s="29" t="str">
        <f t="shared" si="7"/>
        <v>G</v>
      </c>
      <c r="F44" s="51">
        <v>0</v>
      </c>
      <c r="G44" s="49">
        <f t="shared" si="8"/>
        <v>0</v>
      </c>
      <c r="H44" s="49">
        <f t="shared" si="9"/>
        <v>0</v>
      </c>
      <c r="I44" s="49">
        <f t="shared" si="10"/>
        <v>0</v>
      </c>
      <c r="J44" s="49">
        <f t="shared" si="11"/>
        <v>1</v>
      </c>
      <c r="K44" s="49">
        <f t="shared" si="12"/>
        <v>0</v>
      </c>
      <c r="L44" s="49">
        <f t="shared" si="13"/>
        <v>1</v>
      </c>
      <c r="M44" s="49">
        <f t="shared" si="14"/>
        <v>0</v>
      </c>
      <c r="N44" s="29" t="str">
        <f t="shared" si="0"/>
        <v/>
      </c>
      <c r="O44" s="29">
        <f t="shared" si="1"/>
        <v>0</v>
      </c>
      <c r="P44" s="29">
        <f t="shared" si="2"/>
        <v>0</v>
      </c>
      <c r="Q44" s="29">
        <f>IF(A44&lt;&gt;"",SUM(F$2:F44),Q43)</f>
        <v>2</v>
      </c>
      <c r="R44" s="30">
        <f t="shared" si="15"/>
        <v>0</v>
      </c>
    </row>
    <row r="45" spans="1:18" x14ac:dyDescent="0.25">
      <c r="A45" s="27" t="str">
        <f>IF('Data Sheet'!A45="","",'Data Sheet'!A45)</f>
        <v>PF</v>
      </c>
      <c r="B45" s="28" t="str">
        <f>IF('Data Sheet'!B45="","",'Data Sheet'!B45)</f>
        <v>Channing Frye</v>
      </c>
      <c r="C45" s="28">
        <f>IF('Data Sheet'!C45="","",'Data Sheet'!C45)</f>
        <v>3300</v>
      </c>
      <c r="D45" s="28">
        <f>IF('Data Sheet'!D45="","",'Data Sheet'!D45)</f>
        <v>11.4</v>
      </c>
      <c r="E45" s="29" t="str">
        <f t="shared" si="7"/>
        <v>F</v>
      </c>
      <c r="F45" s="51">
        <v>0</v>
      </c>
      <c r="G45" s="49">
        <f t="shared" si="8"/>
        <v>0</v>
      </c>
      <c r="H45" s="49">
        <f t="shared" si="9"/>
        <v>0</v>
      </c>
      <c r="I45" s="49">
        <f t="shared" si="10"/>
        <v>0</v>
      </c>
      <c r="J45" s="49">
        <f t="shared" si="11"/>
        <v>0</v>
      </c>
      <c r="K45" s="49">
        <f t="shared" si="12"/>
        <v>1</v>
      </c>
      <c r="L45" s="49">
        <f t="shared" si="13"/>
        <v>0</v>
      </c>
      <c r="M45" s="49">
        <f t="shared" si="14"/>
        <v>1</v>
      </c>
      <c r="N45" s="29" t="str">
        <f t="shared" si="0"/>
        <v/>
      </c>
      <c r="O45" s="29">
        <f t="shared" si="1"/>
        <v>11.4</v>
      </c>
      <c r="P45" s="29">
        <f t="shared" si="2"/>
        <v>0</v>
      </c>
      <c r="Q45" s="29">
        <f>IF(A45&lt;&gt;"",SUM(F$2:F45),Q44)</f>
        <v>2</v>
      </c>
      <c r="R45" s="30">
        <f t="shared" si="15"/>
        <v>0</v>
      </c>
    </row>
    <row r="46" spans="1:18" x14ac:dyDescent="0.25">
      <c r="A46" s="27" t="str">
        <f>IF('Data Sheet'!A46="","",'Data Sheet'!A46)</f>
        <v>C</v>
      </c>
      <c r="B46" s="28" t="str">
        <f>IF('Data Sheet'!B46="","",'Data Sheet'!B46)</f>
        <v>Dewayne Dedmon</v>
      </c>
      <c r="C46" s="28">
        <f>IF('Data Sheet'!C46="","",'Data Sheet'!C46)</f>
        <v>3200</v>
      </c>
      <c r="D46" s="28">
        <f>IF('Data Sheet'!D46="","",'Data Sheet'!D46)</f>
        <v>2.2000000000000002</v>
      </c>
      <c r="E46" s="29" t="str">
        <f t="shared" si="7"/>
        <v>C</v>
      </c>
      <c r="F46" s="51">
        <v>0</v>
      </c>
      <c r="G46" s="49">
        <f t="shared" si="8"/>
        <v>0</v>
      </c>
      <c r="H46" s="49">
        <f t="shared" si="9"/>
        <v>0</v>
      </c>
      <c r="I46" s="49">
        <f t="shared" si="10"/>
        <v>1</v>
      </c>
      <c r="J46" s="49">
        <f t="shared" si="11"/>
        <v>0</v>
      </c>
      <c r="K46" s="49">
        <f t="shared" si="12"/>
        <v>0</v>
      </c>
      <c r="L46" s="49">
        <f t="shared" si="13"/>
        <v>0</v>
      </c>
      <c r="M46" s="49">
        <f t="shared" si="14"/>
        <v>0</v>
      </c>
      <c r="N46" s="29" t="str">
        <f t="shared" si="0"/>
        <v/>
      </c>
      <c r="O46" s="29">
        <f t="shared" si="1"/>
        <v>2.2000000000000002</v>
      </c>
      <c r="P46" s="29">
        <f t="shared" si="2"/>
        <v>0</v>
      </c>
      <c r="Q46" s="29">
        <f>IF(A46&lt;&gt;"",SUM(F$2:F46),Q45)</f>
        <v>2</v>
      </c>
      <c r="R46" s="30">
        <f t="shared" si="15"/>
        <v>0</v>
      </c>
    </row>
    <row r="47" spans="1:18" x14ac:dyDescent="0.25">
      <c r="A47" s="27" t="str">
        <f>IF('Data Sheet'!A47="","",'Data Sheet'!A47)</f>
        <v>PG</v>
      </c>
      <c r="B47" s="28" t="str">
        <f>IF('Data Sheet'!B47="","",'Data Sheet'!B47)</f>
        <v>Elfrid Payton</v>
      </c>
      <c r="C47" s="28">
        <f>IF('Data Sheet'!C47="","",'Data Sheet'!C47)</f>
        <v>6400</v>
      </c>
      <c r="D47" s="28">
        <f>IF('Data Sheet'!D47="","",'Data Sheet'!D47)</f>
        <v>33</v>
      </c>
      <c r="E47" s="29" t="str">
        <f t="shared" si="7"/>
        <v>G</v>
      </c>
      <c r="F47" s="51">
        <v>0</v>
      </c>
      <c r="G47" s="49">
        <f t="shared" si="8"/>
        <v>0</v>
      </c>
      <c r="H47" s="49">
        <f t="shared" si="9"/>
        <v>0</v>
      </c>
      <c r="I47" s="49">
        <f t="shared" si="10"/>
        <v>0</v>
      </c>
      <c r="J47" s="49">
        <f t="shared" si="11"/>
        <v>1</v>
      </c>
      <c r="K47" s="49">
        <f t="shared" si="12"/>
        <v>0</v>
      </c>
      <c r="L47" s="49">
        <f t="shared" si="13"/>
        <v>1</v>
      </c>
      <c r="M47" s="49">
        <f t="shared" si="14"/>
        <v>0</v>
      </c>
      <c r="N47" s="29" t="str">
        <f t="shared" si="0"/>
        <v/>
      </c>
      <c r="O47" s="29">
        <f t="shared" si="1"/>
        <v>33</v>
      </c>
      <c r="P47" s="29">
        <f t="shared" si="2"/>
        <v>0</v>
      </c>
      <c r="Q47" s="29">
        <f>IF(A47&lt;&gt;"",SUM(F$2:F47),Q46)</f>
        <v>2</v>
      </c>
      <c r="R47" s="30">
        <f t="shared" si="15"/>
        <v>0</v>
      </c>
    </row>
    <row r="48" spans="1:18" x14ac:dyDescent="0.25">
      <c r="A48" s="27" t="str">
        <f>IF('Data Sheet'!A48="","",'Data Sheet'!A48)</f>
        <v>SF</v>
      </c>
      <c r="B48" s="28" t="str">
        <f>IF('Data Sheet'!B48="","",'Data Sheet'!B48)</f>
        <v>Evan Fournier</v>
      </c>
      <c r="C48" s="28">
        <f>IF('Data Sheet'!C48="","",'Data Sheet'!C48)</f>
        <v>5700</v>
      </c>
      <c r="D48" s="28">
        <f>IF('Data Sheet'!D48="","",'Data Sheet'!D48)</f>
        <v>27</v>
      </c>
      <c r="E48" s="29" t="str">
        <f t="shared" si="7"/>
        <v>F</v>
      </c>
      <c r="F48" s="51">
        <v>0</v>
      </c>
      <c r="G48" s="49">
        <f t="shared" si="8"/>
        <v>1</v>
      </c>
      <c r="H48" s="49">
        <f t="shared" si="9"/>
        <v>0</v>
      </c>
      <c r="I48" s="49">
        <f t="shared" si="10"/>
        <v>0</v>
      </c>
      <c r="J48" s="49">
        <f t="shared" si="11"/>
        <v>0</v>
      </c>
      <c r="K48" s="49">
        <f t="shared" si="12"/>
        <v>0</v>
      </c>
      <c r="L48" s="49">
        <f t="shared" si="13"/>
        <v>0</v>
      </c>
      <c r="M48" s="49">
        <f t="shared" si="14"/>
        <v>1</v>
      </c>
      <c r="N48" s="29" t="str">
        <f t="shared" si="0"/>
        <v/>
      </c>
      <c r="O48" s="29">
        <f t="shared" si="1"/>
        <v>27</v>
      </c>
      <c r="P48" s="29">
        <f t="shared" si="2"/>
        <v>0</v>
      </c>
      <c r="Q48" s="29">
        <f>IF(A48&lt;&gt;"",SUM(F$2:F48),Q47)</f>
        <v>2</v>
      </c>
      <c r="R48" s="30">
        <f t="shared" si="15"/>
        <v>0</v>
      </c>
    </row>
    <row r="49" spans="1:18" x14ac:dyDescent="0.25">
      <c r="A49" s="27" t="str">
        <f>IF('Data Sheet'!A49="","",'Data Sheet'!A49)</f>
        <v>PF</v>
      </c>
      <c r="B49" s="28" t="str">
        <f>IF('Data Sheet'!B49="","",'Data Sheet'!B49)</f>
        <v>Jason Smith</v>
      </c>
      <c r="C49" s="28">
        <f>IF('Data Sheet'!C49="","",'Data Sheet'!C49)</f>
        <v>3200</v>
      </c>
      <c r="D49" s="28">
        <f>IF('Data Sheet'!D49="","",'Data Sheet'!D49)</f>
        <v>2.6</v>
      </c>
      <c r="E49" s="29" t="str">
        <f t="shared" si="7"/>
        <v>F</v>
      </c>
      <c r="F49" s="51">
        <v>0</v>
      </c>
      <c r="G49" s="49">
        <f t="shared" si="8"/>
        <v>0</v>
      </c>
      <c r="H49" s="49">
        <f t="shared" si="9"/>
        <v>0</v>
      </c>
      <c r="I49" s="49">
        <f t="shared" si="10"/>
        <v>0</v>
      </c>
      <c r="J49" s="49">
        <f t="shared" si="11"/>
        <v>0</v>
      </c>
      <c r="K49" s="49">
        <f t="shared" si="12"/>
        <v>1</v>
      </c>
      <c r="L49" s="49">
        <f t="shared" si="13"/>
        <v>0</v>
      </c>
      <c r="M49" s="49">
        <f t="shared" si="14"/>
        <v>1</v>
      </c>
      <c r="N49" s="29" t="str">
        <f t="shared" si="0"/>
        <v/>
      </c>
      <c r="O49" s="29">
        <f t="shared" si="1"/>
        <v>2.6</v>
      </c>
      <c r="P49" s="29">
        <f t="shared" si="2"/>
        <v>0</v>
      </c>
      <c r="Q49" s="29">
        <f>IF(A49&lt;&gt;"",SUM(F$2:F49),Q48)</f>
        <v>2</v>
      </c>
      <c r="R49" s="30">
        <f t="shared" si="15"/>
        <v>0</v>
      </c>
    </row>
    <row r="50" spans="1:18" x14ac:dyDescent="0.25">
      <c r="A50" s="27" t="str">
        <f>IF('Data Sheet'!A50="","",'Data Sheet'!A50)</f>
        <v>SG</v>
      </c>
      <c r="B50" s="28" t="str">
        <f>IF('Data Sheet'!B50="","",'Data Sheet'!B50)</f>
        <v>Mario Hezonja</v>
      </c>
      <c r="C50" s="28">
        <f>IF('Data Sheet'!C50="","",'Data Sheet'!C50)</f>
        <v>3000</v>
      </c>
      <c r="D50" s="28">
        <f>IF('Data Sheet'!D50="","",'Data Sheet'!D50)</f>
        <v>3.2</v>
      </c>
      <c r="E50" s="29" t="str">
        <f t="shared" si="7"/>
        <v>G</v>
      </c>
      <c r="F50" s="51">
        <v>0</v>
      </c>
      <c r="G50" s="49">
        <f t="shared" si="8"/>
        <v>0</v>
      </c>
      <c r="H50" s="49">
        <f t="shared" si="9"/>
        <v>1</v>
      </c>
      <c r="I50" s="49">
        <f t="shared" si="10"/>
        <v>0</v>
      </c>
      <c r="J50" s="49">
        <f t="shared" si="11"/>
        <v>0</v>
      </c>
      <c r="K50" s="49">
        <f t="shared" si="12"/>
        <v>0</v>
      </c>
      <c r="L50" s="49">
        <f t="shared" si="13"/>
        <v>1</v>
      </c>
      <c r="M50" s="49">
        <f t="shared" si="14"/>
        <v>0</v>
      </c>
      <c r="N50" s="29" t="str">
        <f t="shared" si="0"/>
        <v/>
      </c>
      <c r="O50" s="29">
        <f t="shared" si="1"/>
        <v>3.2</v>
      </c>
      <c r="P50" s="29">
        <f t="shared" si="2"/>
        <v>0</v>
      </c>
      <c r="Q50" s="29">
        <f>IF(A50&lt;&gt;"",SUM(F$2:F50),Q49)</f>
        <v>2</v>
      </c>
      <c r="R50" s="30">
        <f t="shared" si="15"/>
        <v>0</v>
      </c>
    </row>
    <row r="51" spans="1:18" x14ac:dyDescent="0.25">
      <c r="A51" s="27" t="str">
        <f>IF('Data Sheet'!A51="","",'Data Sheet'!A51)</f>
        <v>C</v>
      </c>
      <c r="B51" s="28" t="str">
        <f>IF('Data Sheet'!B51="","",'Data Sheet'!B51)</f>
        <v>Nikola Vucevic</v>
      </c>
      <c r="C51" s="28">
        <f>IF('Data Sheet'!C51="","",'Data Sheet'!C51)</f>
        <v>7000</v>
      </c>
      <c r="D51" s="28">
        <f>IF('Data Sheet'!D51="","",'Data Sheet'!D51)</f>
        <v>40</v>
      </c>
      <c r="E51" s="29" t="str">
        <f t="shared" si="7"/>
        <v>C</v>
      </c>
      <c r="F51" s="51">
        <v>1</v>
      </c>
      <c r="G51" s="49">
        <f t="shared" si="8"/>
        <v>0</v>
      </c>
      <c r="H51" s="49">
        <f t="shared" si="9"/>
        <v>0</v>
      </c>
      <c r="I51" s="49">
        <f t="shared" si="10"/>
        <v>1</v>
      </c>
      <c r="J51" s="49">
        <f t="shared" si="11"/>
        <v>0</v>
      </c>
      <c r="K51" s="49">
        <f t="shared" si="12"/>
        <v>0</v>
      </c>
      <c r="L51" s="49">
        <f t="shared" si="13"/>
        <v>0</v>
      </c>
      <c r="M51" s="49">
        <f t="shared" si="14"/>
        <v>0</v>
      </c>
      <c r="N51" s="29" t="str">
        <f t="shared" si="0"/>
        <v/>
      </c>
      <c r="O51" s="29">
        <f t="shared" si="1"/>
        <v>40</v>
      </c>
      <c r="P51" s="29">
        <f t="shared" si="2"/>
        <v>40</v>
      </c>
      <c r="Q51" s="29">
        <f>IF(A51&lt;&gt;"",SUM(F$2:F51),Q50)</f>
        <v>3</v>
      </c>
      <c r="R51" s="30">
        <f t="shared" si="15"/>
        <v>3</v>
      </c>
    </row>
    <row r="52" spans="1:18" x14ac:dyDescent="0.25">
      <c r="A52" s="27" t="str">
        <f>IF('Data Sheet'!A52="","",'Data Sheet'!A52)</f>
        <v>PG</v>
      </c>
      <c r="B52" s="28" t="str">
        <f>IF('Data Sheet'!B52="","",'Data Sheet'!B52)</f>
        <v>Shabazz Napier</v>
      </c>
      <c r="C52" s="28">
        <f>IF('Data Sheet'!C52="","",'Data Sheet'!C52)</f>
        <v>3100</v>
      </c>
      <c r="D52" s="28">
        <f>IF('Data Sheet'!D52="","",'Data Sheet'!D52)</f>
        <v>9.6999999999999993</v>
      </c>
      <c r="E52" s="29" t="str">
        <f t="shared" si="7"/>
        <v>G</v>
      </c>
      <c r="F52" s="51">
        <v>0</v>
      </c>
      <c r="G52" s="49">
        <f t="shared" si="8"/>
        <v>0</v>
      </c>
      <c r="H52" s="49">
        <f t="shared" si="9"/>
        <v>0</v>
      </c>
      <c r="I52" s="49">
        <f t="shared" si="10"/>
        <v>0</v>
      </c>
      <c r="J52" s="49">
        <f t="shared" si="11"/>
        <v>1</v>
      </c>
      <c r="K52" s="49">
        <f t="shared" si="12"/>
        <v>0</v>
      </c>
      <c r="L52" s="49">
        <f t="shared" si="13"/>
        <v>1</v>
      </c>
      <c r="M52" s="49">
        <f t="shared" si="14"/>
        <v>0</v>
      </c>
      <c r="N52" s="29" t="str">
        <f t="shared" si="0"/>
        <v/>
      </c>
      <c r="O52" s="29">
        <f t="shared" si="1"/>
        <v>9.6999999999999993</v>
      </c>
      <c r="P52" s="29">
        <f t="shared" si="2"/>
        <v>0</v>
      </c>
      <c r="Q52" s="29">
        <f>IF(A52&lt;&gt;"",SUM(F$2:F52),Q51)</f>
        <v>3</v>
      </c>
      <c r="R52" s="30">
        <f t="shared" si="15"/>
        <v>0</v>
      </c>
    </row>
    <row r="53" spans="1:18" x14ac:dyDescent="0.25">
      <c r="A53" s="27" t="str">
        <f>IF('Data Sheet'!A53="","",'Data Sheet'!A53)</f>
        <v>SF</v>
      </c>
      <c r="B53" s="28" t="str">
        <f>IF('Data Sheet'!B53="","",'Data Sheet'!B53)</f>
        <v>Tobias Harris</v>
      </c>
      <c r="C53" s="28">
        <f>IF('Data Sheet'!C53="","",'Data Sheet'!C53)</f>
        <v>6200</v>
      </c>
      <c r="D53" s="28">
        <f>IF('Data Sheet'!D53="","",'Data Sheet'!D53)</f>
        <v>34.9</v>
      </c>
      <c r="E53" s="29" t="str">
        <f t="shared" si="7"/>
        <v>F</v>
      </c>
      <c r="F53" s="51">
        <v>0</v>
      </c>
      <c r="G53" s="49">
        <f t="shared" si="8"/>
        <v>1</v>
      </c>
      <c r="H53" s="49">
        <f t="shared" si="9"/>
        <v>0</v>
      </c>
      <c r="I53" s="49">
        <f t="shared" si="10"/>
        <v>0</v>
      </c>
      <c r="J53" s="49">
        <f t="shared" si="11"/>
        <v>0</v>
      </c>
      <c r="K53" s="49">
        <f t="shared" si="12"/>
        <v>0</v>
      </c>
      <c r="L53" s="49">
        <f t="shared" si="13"/>
        <v>0</v>
      </c>
      <c r="M53" s="49">
        <f t="shared" si="14"/>
        <v>1</v>
      </c>
      <c r="N53" s="29" t="str">
        <f t="shared" si="0"/>
        <v/>
      </c>
      <c r="O53" s="29">
        <f t="shared" si="1"/>
        <v>34.9</v>
      </c>
      <c r="P53" s="29">
        <f t="shared" si="2"/>
        <v>0</v>
      </c>
      <c r="Q53" s="29">
        <f>IF(A53&lt;&gt;"",SUM(F$2:F53),Q52)</f>
        <v>3</v>
      </c>
      <c r="R53" s="30">
        <f t="shared" si="15"/>
        <v>0</v>
      </c>
    </row>
    <row r="54" spans="1:18" x14ac:dyDescent="0.25">
      <c r="A54" s="27" t="str">
        <f>IF('Data Sheet'!A54="","",'Data Sheet'!A54)</f>
        <v>SG</v>
      </c>
      <c r="B54" s="28" t="str">
        <f>IF('Data Sheet'!B54="","",'Data Sheet'!B54)</f>
        <v>Victor Oladipo</v>
      </c>
      <c r="C54" s="28">
        <f>IF('Data Sheet'!C54="","",'Data Sheet'!C54)</f>
        <v>6600</v>
      </c>
      <c r="D54" s="28">
        <f>IF('Data Sheet'!D54="","",'Data Sheet'!D54)</f>
        <v>32</v>
      </c>
      <c r="E54" s="29" t="str">
        <f t="shared" si="7"/>
        <v>G</v>
      </c>
      <c r="F54" s="51">
        <v>0</v>
      </c>
      <c r="G54" s="49">
        <f t="shared" si="8"/>
        <v>0</v>
      </c>
      <c r="H54" s="49">
        <f t="shared" si="9"/>
        <v>1</v>
      </c>
      <c r="I54" s="49">
        <f t="shared" si="10"/>
        <v>0</v>
      </c>
      <c r="J54" s="49">
        <f t="shared" si="11"/>
        <v>0</v>
      </c>
      <c r="K54" s="49">
        <f t="shared" si="12"/>
        <v>0</v>
      </c>
      <c r="L54" s="49">
        <f t="shared" si="13"/>
        <v>1</v>
      </c>
      <c r="M54" s="49">
        <f t="shared" si="14"/>
        <v>0</v>
      </c>
      <c r="N54" s="29" t="str">
        <f t="shared" si="0"/>
        <v/>
      </c>
      <c r="O54" s="29">
        <f t="shared" si="1"/>
        <v>32</v>
      </c>
      <c r="P54" s="29">
        <f t="shared" si="2"/>
        <v>0</v>
      </c>
      <c r="Q54" s="29">
        <f>IF(A54&lt;&gt;"",SUM(F$2:F54),Q53)</f>
        <v>3</v>
      </c>
      <c r="R54" s="30">
        <f t="shared" si="15"/>
        <v>0</v>
      </c>
    </row>
    <row r="55" spans="1:18" x14ac:dyDescent="0.25">
      <c r="A55" s="27" t="str">
        <f>IF('Data Sheet'!A55="","",'Data Sheet'!A55)</f>
        <v>SG</v>
      </c>
      <c r="B55" s="28" t="str">
        <f>IF('Data Sheet'!B55="","",'Data Sheet'!B55)</f>
        <v>Ben McLemore</v>
      </c>
      <c r="C55" s="28">
        <f>IF('Data Sheet'!C55="","",'Data Sheet'!C55)</f>
        <v>3700</v>
      </c>
      <c r="D55" s="28">
        <f>IF('Data Sheet'!D55="","",'Data Sheet'!D55)</f>
        <v>18.899999999999999</v>
      </c>
      <c r="E55" s="29" t="str">
        <f t="shared" si="7"/>
        <v>G</v>
      </c>
      <c r="F55" s="51">
        <v>0</v>
      </c>
      <c r="G55" s="49">
        <f t="shared" si="8"/>
        <v>0</v>
      </c>
      <c r="H55" s="49">
        <f t="shared" si="9"/>
        <v>1</v>
      </c>
      <c r="I55" s="49">
        <f t="shared" si="10"/>
        <v>0</v>
      </c>
      <c r="J55" s="49">
        <f t="shared" si="11"/>
        <v>0</v>
      </c>
      <c r="K55" s="49">
        <f t="shared" si="12"/>
        <v>0</v>
      </c>
      <c r="L55" s="49">
        <f t="shared" si="13"/>
        <v>1</v>
      </c>
      <c r="M55" s="49">
        <f t="shared" si="14"/>
        <v>0</v>
      </c>
      <c r="N55" s="29" t="str">
        <f t="shared" si="0"/>
        <v/>
      </c>
      <c r="O55" s="29">
        <f t="shared" si="1"/>
        <v>18.899999999999999</v>
      </c>
      <c r="P55" s="29">
        <f t="shared" si="2"/>
        <v>0</v>
      </c>
      <c r="Q55" s="29">
        <f>IF(A55&lt;&gt;"",SUM(F$2:F55),Q54)</f>
        <v>3</v>
      </c>
      <c r="R55" s="30">
        <f t="shared" si="15"/>
        <v>0</v>
      </c>
    </row>
    <row r="56" spans="1:18" x14ac:dyDescent="0.25">
      <c r="A56" s="27" t="str">
        <f>IF('Data Sheet'!A56="","",'Data Sheet'!A56)</f>
        <v>SF</v>
      </c>
      <c r="B56" s="28" t="str">
        <f>IF('Data Sheet'!B56="","",'Data Sheet'!B56)</f>
        <v>Caron Butler</v>
      </c>
      <c r="C56" s="28">
        <f>IF('Data Sheet'!C56="","",'Data Sheet'!C56)</f>
        <v>3000</v>
      </c>
      <c r="D56" s="28">
        <f>IF('Data Sheet'!D56="","",'Data Sheet'!D56)</f>
        <v>1.8</v>
      </c>
      <c r="E56" s="29" t="str">
        <f t="shared" si="7"/>
        <v>F</v>
      </c>
      <c r="F56" s="51">
        <v>0</v>
      </c>
      <c r="G56" s="49">
        <f t="shared" si="8"/>
        <v>1</v>
      </c>
      <c r="H56" s="49">
        <f t="shared" si="9"/>
        <v>0</v>
      </c>
      <c r="I56" s="49">
        <f t="shared" si="10"/>
        <v>0</v>
      </c>
      <c r="J56" s="49">
        <f t="shared" si="11"/>
        <v>0</v>
      </c>
      <c r="K56" s="49">
        <f t="shared" si="12"/>
        <v>0</v>
      </c>
      <c r="L56" s="49">
        <f t="shared" si="13"/>
        <v>0</v>
      </c>
      <c r="M56" s="49">
        <f t="shared" si="14"/>
        <v>1</v>
      </c>
      <c r="N56" s="29" t="str">
        <f t="shared" si="0"/>
        <v/>
      </c>
      <c r="O56" s="29">
        <f t="shared" si="1"/>
        <v>1.8</v>
      </c>
      <c r="P56" s="29">
        <f t="shared" si="2"/>
        <v>0</v>
      </c>
      <c r="Q56" s="29">
        <f>IF(A56&lt;&gt;"",SUM(F$2:F56),Q55)</f>
        <v>3</v>
      </c>
      <c r="R56" s="30">
        <f t="shared" si="15"/>
        <v>0</v>
      </c>
    </row>
    <row r="57" spans="1:18" x14ac:dyDescent="0.25">
      <c r="A57" s="27" t="str">
        <f>IF('Data Sheet'!A57="","",'Data Sheet'!A57)</f>
        <v>PG</v>
      </c>
      <c r="B57" s="28" t="str">
        <f>IF('Data Sheet'!B57="","",'Data Sheet'!B57)</f>
        <v>Darren Collison</v>
      </c>
      <c r="C57" s="28">
        <f>IF('Data Sheet'!C57="","",'Data Sheet'!C57)</f>
        <v>4800</v>
      </c>
      <c r="D57" s="28">
        <f>IF('Data Sheet'!D57="","",'Data Sheet'!D57)</f>
        <v>24.5</v>
      </c>
      <c r="E57" s="29" t="str">
        <f t="shared" si="7"/>
        <v>G</v>
      </c>
      <c r="F57" s="51">
        <v>0</v>
      </c>
      <c r="G57" s="49">
        <f t="shared" si="8"/>
        <v>0</v>
      </c>
      <c r="H57" s="49">
        <f t="shared" si="9"/>
        <v>0</v>
      </c>
      <c r="I57" s="49">
        <f t="shared" si="10"/>
        <v>0</v>
      </c>
      <c r="J57" s="49">
        <f t="shared" si="11"/>
        <v>1</v>
      </c>
      <c r="K57" s="49">
        <f t="shared" si="12"/>
        <v>0</v>
      </c>
      <c r="L57" s="49">
        <f t="shared" si="13"/>
        <v>1</v>
      </c>
      <c r="M57" s="49">
        <f t="shared" si="14"/>
        <v>0</v>
      </c>
      <c r="N57" s="29" t="str">
        <f t="shared" si="0"/>
        <v/>
      </c>
      <c r="O57" s="29">
        <f t="shared" si="1"/>
        <v>24.5</v>
      </c>
      <c r="P57" s="29">
        <f t="shared" si="2"/>
        <v>0</v>
      </c>
      <c r="Q57" s="29">
        <f>IF(A57&lt;&gt;"",SUM(F$2:F57),Q56)</f>
        <v>3</v>
      </c>
      <c r="R57" s="30">
        <f t="shared" si="15"/>
        <v>0</v>
      </c>
    </row>
    <row r="58" spans="1:18" x14ac:dyDescent="0.25">
      <c r="A58" s="27" t="str">
        <f>IF('Data Sheet'!A58="","",'Data Sheet'!A58)</f>
        <v>PF</v>
      </c>
      <c r="B58" s="28" t="str">
        <f>IF('Data Sheet'!B58="","",'Data Sheet'!B58)</f>
        <v>DeMarcus Cousins</v>
      </c>
      <c r="C58" s="28">
        <f>IF('Data Sheet'!C58="","",'Data Sheet'!C58)</f>
        <v>10500</v>
      </c>
      <c r="D58" s="28">
        <f>IF('Data Sheet'!D58="","",'Data Sheet'!D58)</f>
        <v>48.3</v>
      </c>
      <c r="E58" s="29" t="str">
        <f t="shared" si="7"/>
        <v>F</v>
      </c>
      <c r="F58" s="51">
        <v>0</v>
      </c>
      <c r="G58" s="49">
        <f t="shared" si="8"/>
        <v>0</v>
      </c>
      <c r="H58" s="49">
        <f t="shared" si="9"/>
        <v>0</v>
      </c>
      <c r="I58" s="49">
        <f t="shared" si="10"/>
        <v>0</v>
      </c>
      <c r="J58" s="49">
        <f t="shared" si="11"/>
        <v>0</v>
      </c>
      <c r="K58" s="49">
        <f t="shared" si="12"/>
        <v>1</v>
      </c>
      <c r="L58" s="49">
        <f t="shared" si="13"/>
        <v>0</v>
      </c>
      <c r="M58" s="49">
        <f t="shared" si="14"/>
        <v>1</v>
      </c>
      <c r="N58" s="29" t="str">
        <f t="shared" si="0"/>
        <v/>
      </c>
      <c r="O58" s="29">
        <f t="shared" si="1"/>
        <v>48.3</v>
      </c>
      <c r="P58" s="29">
        <f t="shared" si="2"/>
        <v>0</v>
      </c>
      <c r="Q58" s="29">
        <f>IF(A58&lt;&gt;"",SUM(F$2:F58),Q57)</f>
        <v>3</v>
      </c>
      <c r="R58" s="30">
        <f t="shared" si="15"/>
        <v>0</v>
      </c>
    </row>
    <row r="59" spans="1:18" x14ac:dyDescent="0.25">
      <c r="A59" s="27" t="str">
        <f>IF('Data Sheet'!A59="","",'Data Sheet'!A59)</f>
        <v>SG</v>
      </c>
      <c r="B59" s="28" t="str">
        <f>IF('Data Sheet'!B59="","",'Data Sheet'!B59)</f>
        <v>James Anderson</v>
      </c>
      <c r="C59" s="28">
        <f>IF('Data Sheet'!C59="","",'Data Sheet'!C59)</f>
        <v>3000</v>
      </c>
      <c r="D59" s="28">
        <f>IF('Data Sheet'!D59="","",'Data Sheet'!D59)</f>
        <v>1.5</v>
      </c>
      <c r="E59" s="29" t="str">
        <f t="shared" si="7"/>
        <v>G</v>
      </c>
      <c r="F59" s="51">
        <v>0</v>
      </c>
      <c r="G59" s="49">
        <f t="shared" si="8"/>
        <v>0</v>
      </c>
      <c r="H59" s="49">
        <f t="shared" si="9"/>
        <v>1</v>
      </c>
      <c r="I59" s="49">
        <f t="shared" si="10"/>
        <v>0</v>
      </c>
      <c r="J59" s="49">
        <f t="shared" si="11"/>
        <v>0</v>
      </c>
      <c r="K59" s="49">
        <f t="shared" si="12"/>
        <v>0</v>
      </c>
      <c r="L59" s="49">
        <f t="shared" si="13"/>
        <v>1</v>
      </c>
      <c r="M59" s="49">
        <f t="shared" si="14"/>
        <v>0</v>
      </c>
      <c r="N59" s="29" t="str">
        <f t="shared" si="0"/>
        <v/>
      </c>
      <c r="O59" s="29">
        <f t="shared" si="1"/>
        <v>1.5</v>
      </c>
      <c r="P59" s="29">
        <f t="shared" si="2"/>
        <v>0</v>
      </c>
      <c r="Q59" s="29">
        <f>IF(A59&lt;&gt;"",SUM(F$2:F59),Q58)</f>
        <v>3</v>
      </c>
      <c r="R59" s="30">
        <f t="shared" si="15"/>
        <v>0</v>
      </c>
    </row>
    <row r="60" spans="1:18" x14ac:dyDescent="0.25">
      <c r="A60" s="27" t="str">
        <f>IF('Data Sheet'!A60="","",'Data Sheet'!A60)</f>
        <v>C</v>
      </c>
      <c r="B60" s="28" t="str">
        <f>IF('Data Sheet'!B60="","",'Data Sheet'!B60)</f>
        <v>Kosta Koufos</v>
      </c>
      <c r="C60" s="28">
        <f>IF('Data Sheet'!C60="","",'Data Sheet'!C60)</f>
        <v>4700</v>
      </c>
      <c r="D60" s="28">
        <f>IF('Data Sheet'!D60="","",'Data Sheet'!D60)</f>
        <v>20.399999999999999</v>
      </c>
      <c r="E60" s="29" t="str">
        <f t="shared" si="7"/>
        <v>C</v>
      </c>
      <c r="F60" s="51">
        <v>0</v>
      </c>
      <c r="G60" s="49">
        <f t="shared" si="8"/>
        <v>0</v>
      </c>
      <c r="H60" s="49">
        <f t="shared" si="9"/>
        <v>0</v>
      </c>
      <c r="I60" s="49">
        <f t="shared" si="10"/>
        <v>1</v>
      </c>
      <c r="J60" s="49">
        <f t="shared" si="11"/>
        <v>0</v>
      </c>
      <c r="K60" s="49">
        <f t="shared" si="12"/>
        <v>0</v>
      </c>
      <c r="L60" s="49">
        <f t="shared" si="13"/>
        <v>0</v>
      </c>
      <c r="M60" s="49">
        <f t="shared" si="14"/>
        <v>0</v>
      </c>
      <c r="N60" s="29" t="str">
        <f t="shared" si="0"/>
        <v/>
      </c>
      <c r="O60" s="29">
        <f t="shared" si="1"/>
        <v>20.399999999999999</v>
      </c>
      <c r="P60" s="29">
        <f t="shared" si="2"/>
        <v>0</v>
      </c>
      <c r="Q60" s="29">
        <f>IF(A60&lt;&gt;"",SUM(F$2:F60),Q59)</f>
        <v>3</v>
      </c>
      <c r="R60" s="30">
        <f t="shared" si="15"/>
        <v>0</v>
      </c>
    </row>
    <row r="61" spans="1:18" x14ac:dyDescent="0.25">
      <c r="A61" s="27" t="str">
        <f>IF('Data Sheet'!A61="","",'Data Sheet'!A61)</f>
        <v>SG</v>
      </c>
      <c r="B61" s="28" t="str">
        <f>IF('Data Sheet'!B61="","",'Data Sheet'!B61)</f>
        <v>Marco Belinelli</v>
      </c>
      <c r="C61" s="28">
        <f>IF('Data Sheet'!C61="","",'Data Sheet'!C61)</f>
        <v>4000</v>
      </c>
      <c r="D61" s="28">
        <f>IF('Data Sheet'!D61="","",'Data Sheet'!D61)</f>
        <v>20.9</v>
      </c>
      <c r="E61" s="29" t="str">
        <f t="shared" si="7"/>
        <v>G</v>
      </c>
      <c r="F61" s="51">
        <v>0</v>
      </c>
      <c r="G61" s="49">
        <f t="shared" si="8"/>
        <v>0</v>
      </c>
      <c r="H61" s="49">
        <f t="shared" si="9"/>
        <v>1</v>
      </c>
      <c r="I61" s="49">
        <f t="shared" si="10"/>
        <v>0</v>
      </c>
      <c r="J61" s="49">
        <f t="shared" si="11"/>
        <v>0</v>
      </c>
      <c r="K61" s="49">
        <f t="shared" si="12"/>
        <v>0</v>
      </c>
      <c r="L61" s="49">
        <f t="shared" si="13"/>
        <v>1</v>
      </c>
      <c r="M61" s="49">
        <f t="shared" si="14"/>
        <v>0</v>
      </c>
      <c r="N61" s="29" t="str">
        <f t="shared" si="0"/>
        <v/>
      </c>
      <c r="O61" s="29">
        <f t="shared" si="1"/>
        <v>20.9</v>
      </c>
      <c r="P61" s="29">
        <f t="shared" si="2"/>
        <v>0</v>
      </c>
      <c r="Q61" s="29">
        <f>IF(A61&lt;&gt;"",SUM(F$2:F61),Q60)</f>
        <v>3</v>
      </c>
      <c r="R61" s="30">
        <f t="shared" si="15"/>
        <v>0</v>
      </c>
    </row>
    <row r="62" spans="1:18" x14ac:dyDescent="0.25">
      <c r="A62" s="27" t="str">
        <f>IF('Data Sheet'!A62="","",'Data Sheet'!A62)</f>
        <v>SF</v>
      </c>
      <c r="B62" s="28" t="str">
        <f>IF('Data Sheet'!B62="","",'Data Sheet'!B62)</f>
        <v>Omri Casspi</v>
      </c>
      <c r="C62" s="28">
        <f>IF('Data Sheet'!C62="","",'Data Sheet'!C62)</f>
        <v>5000</v>
      </c>
      <c r="D62" s="28">
        <f>IF('Data Sheet'!D62="","",'Data Sheet'!D62)</f>
        <v>26.8</v>
      </c>
      <c r="E62" s="29" t="str">
        <f t="shared" si="7"/>
        <v>F</v>
      </c>
      <c r="F62" s="51">
        <v>0</v>
      </c>
      <c r="G62" s="49">
        <f t="shared" si="8"/>
        <v>1</v>
      </c>
      <c r="H62" s="49">
        <f t="shared" si="9"/>
        <v>0</v>
      </c>
      <c r="I62" s="49">
        <f t="shared" si="10"/>
        <v>0</v>
      </c>
      <c r="J62" s="49">
        <f t="shared" si="11"/>
        <v>0</v>
      </c>
      <c r="K62" s="49">
        <f t="shared" si="12"/>
        <v>0</v>
      </c>
      <c r="L62" s="49">
        <f t="shared" si="13"/>
        <v>0</v>
      </c>
      <c r="M62" s="49">
        <f t="shared" si="14"/>
        <v>1</v>
      </c>
      <c r="N62" s="29" t="str">
        <f t="shared" si="0"/>
        <v/>
      </c>
      <c r="O62" s="29">
        <f t="shared" si="1"/>
        <v>26.8</v>
      </c>
      <c r="P62" s="29">
        <f t="shared" si="2"/>
        <v>0</v>
      </c>
      <c r="Q62" s="29">
        <f>IF(A62&lt;&gt;"",SUM(F$2:F62),Q61)</f>
        <v>3</v>
      </c>
      <c r="R62" s="30">
        <f t="shared" si="15"/>
        <v>0</v>
      </c>
    </row>
    <row r="63" spans="1:18" x14ac:dyDescent="0.25">
      <c r="A63" s="27" t="str">
        <f>IF('Data Sheet'!A63="","",'Data Sheet'!A63)</f>
        <v>PF</v>
      </c>
      <c r="B63" s="28" t="str">
        <f>IF('Data Sheet'!B63="","",'Data Sheet'!B63)</f>
        <v>Quincy Acy</v>
      </c>
      <c r="C63" s="28">
        <f>IF('Data Sheet'!C63="","",'Data Sheet'!C63)</f>
        <v>3000</v>
      </c>
      <c r="D63" s="28">
        <f>IF('Data Sheet'!D63="","",'Data Sheet'!D63)</f>
        <v>2.0999999999999996</v>
      </c>
      <c r="E63" s="29" t="str">
        <f t="shared" si="7"/>
        <v>F</v>
      </c>
      <c r="F63" s="51">
        <v>0</v>
      </c>
      <c r="G63" s="49">
        <f t="shared" si="8"/>
        <v>0</v>
      </c>
      <c r="H63" s="49">
        <f t="shared" si="9"/>
        <v>0</v>
      </c>
      <c r="I63" s="49">
        <f t="shared" si="10"/>
        <v>0</v>
      </c>
      <c r="J63" s="49">
        <f t="shared" si="11"/>
        <v>0</v>
      </c>
      <c r="K63" s="49">
        <f t="shared" si="12"/>
        <v>1</v>
      </c>
      <c r="L63" s="49">
        <f t="shared" si="13"/>
        <v>0</v>
      </c>
      <c r="M63" s="49">
        <f t="shared" si="14"/>
        <v>1</v>
      </c>
      <c r="N63" s="29" t="str">
        <f t="shared" si="0"/>
        <v/>
      </c>
      <c r="O63" s="29">
        <f t="shared" si="1"/>
        <v>2.0999999999999996</v>
      </c>
      <c r="P63" s="29">
        <f t="shared" si="2"/>
        <v>0</v>
      </c>
      <c r="Q63" s="29">
        <f>IF(A63&lt;&gt;"",SUM(F$2:F63),Q62)</f>
        <v>3</v>
      </c>
      <c r="R63" s="30">
        <f t="shared" si="15"/>
        <v>0</v>
      </c>
    </row>
    <row r="64" spans="1:18" x14ac:dyDescent="0.25">
      <c r="A64" s="27" t="str">
        <f>IF('Data Sheet'!A64="","",'Data Sheet'!A64)</f>
        <v>PG</v>
      </c>
      <c r="B64" s="28" t="str">
        <f>IF('Data Sheet'!B64="","",'Data Sheet'!B64)</f>
        <v>Rajon Rondo</v>
      </c>
      <c r="C64" s="28">
        <f>IF('Data Sheet'!C64="","",'Data Sheet'!C64)</f>
        <v>8500</v>
      </c>
      <c r="D64" s="28">
        <f>IF('Data Sheet'!D64="","",'Data Sheet'!D64)</f>
        <v>27.5</v>
      </c>
      <c r="E64" s="29" t="str">
        <f t="shared" si="7"/>
        <v>G</v>
      </c>
      <c r="F64" s="51">
        <v>0</v>
      </c>
      <c r="G64" s="49">
        <f t="shared" si="8"/>
        <v>0</v>
      </c>
      <c r="H64" s="49">
        <f t="shared" si="9"/>
        <v>0</v>
      </c>
      <c r="I64" s="49">
        <f t="shared" si="10"/>
        <v>0</v>
      </c>
      <c r="J64" s="49">
        <f t="shared" si="11"/>
        <v>1</v>
      </c>
      <c r="K64" s="49">
        <f t="shared" si="12"/>
        <v>0</v>
      </c>
      <c r="L64" s="49">
        <f t="shared" si="13"/>
        <v>1</v>
      </c>
      <c r="M64" s="49">
        <f t="shared" si="14"/>
        <v>0</v>
      </c>
      <c r="N64" s="29" t="str">
        <f t="shared" si="0"/>
        <v/>
      </c>
      <c r="O64" s="29">
        <f t="shared" si="1"/>
        <v>27.5</v>
      </c>
      <c r="P64" s="29">
        <f t="shared" si="2"/>
        <v>0</v>
      </c>
      <c r="Q64" s="29">
        <f>IF(A64&lt;&gt;"",SUM(F$2:F64),Q63)</f>
        <v>3</v>
      </c>
      <c r="R64" s="30">
        <f t="shared" si="15"/>
        <v>0</v>
      </c>
    </row>
    <row r="65" spans="1:18" x14ac:dyDescent="0.25">
      <c r="A65" s="27" t="str">
        <f>IF('Data Sheet'!A65="","",'Data Sheet'!A65)</f>
        <v>SF</v>
      </c>
      <c r="B65" s="28" t="str">
        <f>IF('Data Sheet'!B65="","",'Data Sheet'!B65)</f>
        <v>Rudy Gay</v>
      </c>
      <c r="C65" s="28">
        <f>IF('Data Sheet'!C65="","",'Data Sheet'!C65)</f>
        <v>6900</v>
      </c>
      <c r="D65" s="28">
        <f>IF('Data Sheet'!D65="","",'Data Sheet'!D65)</f>
        <v>39.5</v>
      </c>
      <c r="E65" s="29" t="str">
        <f t="shared" si="7"/>
        <v>F</v>
      </c>
      <c r="F65" s="51">
        <v>1</v>
      </c>
      <c r="G65" s="49">
        <f t="shared" si="8"/>
        <v>1</v>
      </c>
      <c r="H65" s="49">
        <f t="shared" si="9"/>
        <v>0</v>
      </c>
      <c r="I65" s="49">
        <f t="shared" si="10"/>
        <v>0</v>
      </c>
      <c r="J65" s="49">
        <f t="shared" si="11"/>
        <v>0</v>
      </c>
      <c r="K65" s="49">
        <f t="shared" si="12"/>
        <v>0</v>
      </c>
      <c r="L65" s="49">
        <f t="shared" si="13"/>
        <v>0</v>
      </c>
      <c r="M65" s="49">
        <f t="shared" si="14"/>
        <v>1</v>
      </c>
      <c r="N65" s="29" t="str">
        <f t="shared" si="0"/>
        <v/>
      </c>
      <c r="O65" s="29">
        <f t="shared" si="1"/>
        <v>39.5</v>
      </c>
      <c r="P65" s="29">
        <f t="shared" si="2"/>
        <v>39.5</v>
      </c>
      <c r="Q65" s="29">
        <f>IF(A65&lt;&gt;"",SUM(F$2:F65),Q64)</f>
        <v>4</v>
      </c>
      <c r="R65" s="30">
        <f t="shared" si="15"/>
        <v>4</v>
      </c>
    </row>
    <row r="66" spans="1:18" x14ac:dyDescent="0.25">
      <c r="A66" s="27" t="str">
        <f>IF('Data Sheet'!A66="","",'Data Sheet'!A66)</f>
        <v>PG</v>
      </c>
      <c r="B66" s="28" t="str">
        <f>IF('Data Sheet'!B66="","",'Data Sheet'!B66)</f>
        <v>Seth Curry</v>
      </c>
      <c r="C66" s="28">
        <f>IF('Data Sheet'!C66="","",'Data Sheet'!C66)</f>
        <v>3100</v>
      </c>
      <c r="D66" s="28">
        <f>IF('Data Sheet'!D66="","",'Data Sheet'!D66)</f>
        <v>0</v>
      </c>
      <c r="E66" s="29" t="str">
        <f t="shared" si="7"/>
        <v>G</v>
      </c>
      <c r="F66" s="51">
        <v>0</v>
      </c>
      <c r="G66" s="49">
        <f t="shared" si="8"/>
        <v>0</v>
      </c>
      <c r="H66" s="49">
        <f t="shared" si="9"/>
        <v>0</v>
      </c>
      <c r="I66" s="49">
        <f t="shared" si="10"/>
        <v>0</v>
      </c>
      <c r="J66" s="49">
        <f t="shared" si="11"/>
        <v>1</v>
      </c>
      <c r="K66" s="49">
        <f t="shared" si="12"/>
        <v>0</v>
      </c>
      <c r="L66" s="49">
        <f t="shared" si="13"/>
        <v>1</v>
      </c>
      <c r="M66" s="49">
        <f t="shared" si="14"/>
        <v>0</v>
      </c>
      <c r="N66" s="29" t="str">
        <f t="shared" ref="N66:N129" si="18">IFERROR(VLOOKUP(B66,$U$16:$U$23,1,FALSE), "")</f>
        <v/>
      </c>
      <c r="O66" s="29">
        <f t="shared" ref="O66:O129" si="19">IF(A66="",0,IF(N66="",D66,D66*10))</f>
        <v>0</v>
      </c>
      <c r="P66" s="29">
        <f t="shared" ref="P66:P129" si="20">O66*F66</f>
        <v>0</v>
      </c>
      <c r="Q66" s="29">
        <f>IF(A66&lt;&gt;"",SUM(F$2:F66),Q65)</f>
        <v>4</v>
      </c>
      <c r="R66" s="30">
        <f t="shared" si="15"/>
        <v>0</v>
      </c>
    </row>
    <row r="67" spans="1:18" x14ac:dyDescent="0.25">
      <c r="A67" s="27" t="str">
        <f>IF('Data Sheet'!A67="","",'Data Sheet'!A67)</f>
        <v>SG</v>
      </c>
      <c r="B67" s="28" t="str">
        <f>IF('Data Sheet'!B67="","",'Data Sheet'!B67)</f>
        <v>Alec Burks</v>
      </c>
      <c r="C67" s="28">
        <f>IF('Data Sheet'!C67="","",'Data Sheet'!C67)</f>
        <v>5400</v>
      </c>
      <c r="D67" s="28">
        <f>IF('Data Sheet'!D67="","",'Data Sheet'!D67)</f>
        <v>30.3</v>
      </c>
      <c r="E67" s="29" t="str">
        <f t="shared" ref="E67:E130" si="21">IF(OR(A67="SF",A67="PF"),"F",IF(OR(A67="SG",A67="PG"),"G","C"))</f>
        <v>G</v>
      </c>
      <c r="F67" s="51">
        <v>1</v>
      </c>
      <c r="G67" s="49">
        <f t="shared" ref="G67:G130" si="22">IF(A67="SF",1,0)</f>
        <v>0</v>
      </c>
      <c r="H67" s="49">
        <f t="shared" ref="H67:H130" si="23">IF(A67="SG",1,0)</f>
        <v>1</v>
      </c>
      <c r="I67" s="49">
        <f t="shared" ref="I67:I130" si="24">IF(A67="C",1,0)</f>
        <v>0</v>
      </c>
      <c r="J67" s="49">
        <f t="shared" ref="J67:J130" si="25">IF(A67="PG",1,0)</f>
        <v>0</v>
      </c>
      <c r="K67" s="49">
        <f t="shared" ref="K67:K130" si="26">IF(A67="PF",1,0)</f>
        <v>0</v>
      </c>
      <c r="L67" s="49">
        <f t="shared" ref="L67:L130" si="27">IF(E67="G",1,0)</f>
        <v>1</v>
      </c>
      <c r="M67" s="49">
        <f t="shared" ref="M67:M130" si="28">IF(E67="F",1,0)</f>
        <v>0</v>
      </c>
      <c r="N67" s="29" t="str">
        <f t="shared" si="18"/>
        <v/>
      </c>
      <c r="O67" s="29">
        <f t="shared" si="19"/>
        <v>30.3</v>
      </c>
      <c r="P67" s="29">
        <f t="shared" si="20"/>
        <v>30.3</v>
      </c>
      <c r="Q67" s="29">
        <f>IF(A67&lt;&gt;"",SUM(F$2:F67),Q66)</f>
        <v>5</v>
      </c>
      <c r="R67" s="30">
        <f t="shared" si="15"/>
        <v>5</v>
      </c>
    </row>
    <row r="68" spans="1:18" x14ac:dyDescent="0.25">
      <c r="A68" s="27" t="str">
        <f>IF('Data Sheet'!A68="","",'Data Sheet'!A68)</f>
        <v>SF</v>
      </c>
      <c r="B68" s="28" t="str">
        <f>IF('Data Sheet'!B68="","",'Data Sheet'!B68)</f>
        <v>Chris Johnson</v>
      </c>
      <c r="C68" s="28">
        <f>IF('Data Sheet'!C68="","",'Data Sheet'!C68)</f>
        <v>3000</v>
      </c>
      <c r="D68" s="28">
        <f>IF('Data Sheet'!D68="","",'Data Sheet'!D68)</f>
        <v>1.5</v>
      </c>
      <c r="E68" s="29" t="str">
        <f t="shared" si="21"/>
        <v>F</v>
      </c>
      <c r="F68" s="51">
        <v>0</v>
      </c>
      <c r="G68" s="49">
        <f t="shared" si="22"/>
        <v>1</v>
      </c>
      <c r="H68" s="49">
        <f t="shared" si="23"/>
        <v>0</v>
      </c>
      <c r="I68" s="49">
        <f t="shared" si="24"/>
        <v>0</v>
      </c>
      <c r="J68" s="49">
        <f t="shared" si="25"/>
        <v>0</v>
      </c>
      <c r="K68" s="49">
        <f t="shared" si="26"/>
        <v>0</v>
      </c>
      <c r="L68" s="49">
        <f t="shared" si="27"/>
        <v>0</v>
      </c>
      <c r="M68" s="49">
        <f t="shared" si="28"/>
        <v>1</v>
      </c>
      <c r="N68" s="29" t="str">
        <f t="shared" si="18"/>
        <v/>
      </c>
      <c r="O68" s="29">
        <f t="shared" si="19"/>
        <v>1.5</v>
      </c>
      <c r="P68" s="29">
        <f t="shared" si="20"/>
        <v>0</v>
      </c>
      <c r="Q68" s="29">
        <f>IF(A68&lt;&gt;"",SUM(F$2:F68),Q67)</f>
        <v>5</v>
      </c>
      <c r="R68" s="30">
        <f t="shared" ref="R68:R131" si="29">IF(Q68=Q67,0,Q68)</f>
        <v>0</v>
      </c>
    </row>
    <row r="69" spans="1:18" x14ac:dyDescent="0.25">
      <c r="A69" s="27" t="str">
        <f>IF('Data Sheet'!A69="","",'Data Sheet'!A69)</f>
        <v>PF</v>
      </c>
      <c r="B69" s="28" t="str">
        <f>IF('Data Sheet'!B69="","",'Data Sheet'!B69)</f>
        <v>Derrick Favors</v>
      </c>
      <c r="C69" s="28">
        <f>IF('Data Sheet'!C69="","",'Data Sheet'!C69)</f>
        <v>7900</v>
      </c>
      <c r="D69" s="28">
        <f>IF('Data Sheet'!D69="","",'Data Sheet'!D69)</f>
        <v>45.9</v>
      </c>
      <c r="E69" s="29" t="str">
        <f t="shared" si="21"/>
        <v>F</v>
      </c>
      <c r="F69" s="51">
        <v>1</v>
      </c>
      <c r="G69" s="49">
        <f t="shared" si="22"/>
        <v>0</v>
      </c>
      <c r="H69" s="49">
        <f t="shared" si="23"/>
        <v>0</v>
      </c>
      <c r="I69" s="49">
        <f t="shared" si="24"/>
        <v>0</v>
      </c>
      <c r="J69" s="49">
        <f t="shared" si="25"/>
        <v>0</v>
      </c>
      <c r="K69" s="49">
        <f t="shared" si="26"/>
        <v>1</v>
      </c>
      <c r="L69" s="49">
        <f t="shared" si="27"/>
        <v>0</v>
      </c>
      <c r="M69" s="49">
        <f t="shared" si="28"/>
        <v>1</v>
      </c>
      <c r="N69" s="29" t="str">
        <f t="shared" si="18"/>
        <v/>
      </c>
      <c r="O69" s="29">
        <f t="shared" si="19"/>
        <v>45.9</v>
      </c>
      <c r="P69" s="29">
        <f t="shared" si="20"/>
        <v>45.9</v>
      </c>
      <c r="Q69" s="29">
        <f>IF(A69&lt;&gt;"",SUM(F$2:F69),Q68)</f>
        <v>6</v>
      </c>
      <c r="R69" s="30">
        <f t="shared" si="29"/>
        <v>6</v>
      </c>
    </row>
    <row r="70" spans="1:18" x14ac:dyDescent="0.25">
      <c r="A70" s="27" t="str">
        <f>IF('Data Sheet'!A70="","",'Data Sheet'!A70)</f>
        <v>SG</v>
      </c>
      <c r="B70" s="28" t="str">
        <f>IF('Data Sheet'!B70="","",'Data Sheet'!B70)</f>
        <v>Elijah Millsap</v>
      </c>
      <c r="C70" s="28">
        <f>IF('Data Sheet'!C70="","",'Data Sheet'!C70)</f>
        <v>3000</v>
      </c>
      <c r="D70" s="28">
        <f>IF('Data Sheet'!D70="","",'Data Sheet'!D70)</f>
        <v>1.7</v>
      </c>
      <c r="E70" s="29" t="str">
        <f t="shared" si="21"/>
        <v>G</v>
      </c>
      <c r="F70" s="51">
        <v>0</v>
      </c>
      <c r="G70" s="49">
        <f t="shared" si="22"/>
        <v>0</v>
      </c>
      <c r="H70" s="49">
        <f t="shared" si="23"/>
        <v>1</v>
      </c>
      <c r="I70" s="49">
        <f t="shared" si="24"/>
        <v>0</v>
      </c>
      <c r="J70" s="49">
        <f t="shared" si="25"/>
        <v>0</v>
      </c>
      <c r="K70" s="49">
        <f t="shared" si="26"/>
        <v>0</v>
      </c>
      <c r="L70" s="49">
        <f t="shared" si="27"/>
        <v>1</v>
      </c>
      <c r="M70" s="49">
        <f t="shared" si="28"/>
        <v>0</v>
      </c>
      <c r="N70" s="29" t="str">
        <f t="shared" si="18"/>
        <v/>
      </c>
      <c r="O70" s="29">
        <f t="shared" si="19"/>
        <v>1.7</v>
      </c>
      <c r="P70" s="29">
        <f t="shared" si="20"/>
        <v>0</v>
      </c>
      <c r="Q70" s="29">
        <f>IF(A70&lt;&gt;"",SUM(F$2:F70),Q69)</f>
        <v>6</v>
      </c>
      <c r="R70" s="30">
        <f t="shared" si="29"/>
        <v>0</v>
      </c>
    </row>
    <row r="71" spans="1:18" x14ac:dyDescent="0.25">
      <c r="A71" s="27" t="str">
        <f>IF('Data Sheet'!A71="","",'Data Sheet'!A71)</f>
        <v>SF</v>
      </c>
      <c r="B71" s="28" t="str">
        <f>IF('Data Sheet'!B71="","",'Data Sheet'!B71)</f>
        <v>Gordon Hayward</v>
      </c>
      <c r="C71" s="28">
        <f>IF('Data Sheet'!C71="","",'Data Sheet'!C71)</f>
        <v>7000</v>
      </c>
      <c r="D71" s="28">
        <f>IF('Data Sheet'!D71="","",'Data Sheet'!D71)</f>
        <v>37.200000000000003</v>
      </c>
      <c r="E71" s="29" t="str">
        <f t="shared" si="21"/>
        <v>F</v>
      </c>
      <c r="F71" s="51">
        <v>0</v>
      </c>
      <c r="G71" s="49">
        <f t="shared" si="22"/>
        <v>1</v>
      </c>
      <c r="H71" s="49">
        <f t="shared" si="23"/>
        <v>0</v>
      </c>
      <c r="I71" s="49">
        <f t="shared" si="24"/>
        <v>0</v>
      </c>
      <c r="J71" s="49">
        <f t="shared" si="25"/>
        <v>0</v>
      </c>
      <c r="K71" s="49">
        <f t="shared" si="26"/>
        <v>0</v>
      </c>
      <c r="L71" s="49">
        <f t="shared" si="27"/>
        <v>0</v>
      </c>
      <c r="M71" s="49">
        <f t="shared" si="28"/>
        <v>1</v>
      </c>
      <c r="N71" s="29" t="str">
        <f t="shared" si="18"/>
        <v/>
      </c>
      <c r="O71" s="29">
        <f t="shared" si="19"/>
        <v>37.200000000000003</v>
      </c>
      <c r="P71" s="29">
        <f t="shared" si="20"/>
        <v>0</v>
      </c>
      <c r="Q71" s="29">
        <f>IF(A71&lt;&gt;"",SUM(F$2:F71),Q70)</f>
        <v>6</v>
      </c>
      <c r="R71" s="30">
        <f t="shared" si="29"/>
        <v>0</v>
      </c>
    </row>
    <row r="72" spans="1:18" x14ac:dyDescent="0.25">
      <c r="A72" s="27" t="str">
        <f>IF('Data Sheet'!A72="","",'Data Sheet'!A72)</f>
        <v>C</v>
      </c>
      <c r="B72" s="28" t="str">
        <f>IF('Data Sheet'!B72="","",'Data Sheet'!B72)</f>
        <v>Jeff Withey</v>
      </c>
      <c r="C72" s="28">
        <f>IF('Data Sheet'!C72="","",'Data Sheet'!C72)</f>
        <v>3100</v>
      </c>
      <c r="D72" s="28">
        <f>IF('Data Sheet'!D72="","",'Data Sheet'!D72)</f>
        <v>9.6999999999999993</v>
      </c>
      <c r="E72" s="29" t="str">
        <f t="shared" si="21"/>
        <v>C</v>
      </c>
      <c r="F72" s="51">
        <v>0</v>
      </c>
      <c r="G72" s="49">
        <f t="shared" si="22"/>
        <v>0</v>
      </c>
      <c r="H72" s="49">
        <f t="shared" si="23"/>
        <v>0</v>
      </c>
      <c r="I72" s="49">
        <f t="shared" si="24"/>
        <v>1</v>
      </c>
      <c r="J72" s="49">
        <f t="shared" si="25"/>
        <v>0</v>
      </c>
      <c r="K72" s="49">
        <f t="shared" si="26"/>
        <v>0</v>
      </c>
      <c r="L72" s="49">
        <f t="shared" si="27"/>
        <v>0</v>
      </c>
      <c r="M72" s="49">
        <f t="shared" si="28"/>
        <v>0</v>
      </c>
      <c r="N72" s="29" t="str">
        <f t="shared" si="18"/>
        <v/>
      </c>
      <c r="O72" s="29">
        <f t="shared" si="19"/>
        <v>9.6999999999999993</v>
      </c>
      <c r="P72" s="29">
        <f t="shared" si="20"/>
        <v>0</v>
      </c>
      <c r="Q72" s="29">
        <f>IF(A72&lt;&gt;"",SUM(F$2:F72),Q71)</f>
        <v>6</v>
      </c>
      <c r="R72" s="30">
        <f t="shared" si="29"/>
        <v>0</v>
      </c>
    </row>
    <row r="73" spans="1:18" x14ac:dyDescent="0.25">
      <c r="A73" s="27" t="str">
        <f>IF('Data Sheet'!A73="","",'Data Sheet'!A73)</f>
        <v>SG</v>
      </c>
      <c r="B73" s="28" t="str">
        <f>IF('Data Sheet'!B73="","",'Data Sheet'!B73)</f>
        <v>Joe Ingles</v>
      </c>
      <c r="C73" s="28">
        <f>IF('Data Sheet'!C73="","",'Data Sheet'!C73)</f>
        <v>3100</v>
      </c>
      <c r="D73" s="28">
        <f>IF('Data Sheet'!D73="","",'Data Sheet'!D73)</f>
        <v>8.6</v>
      </c>
      <c r="E73" s="29" t="str">
        <f t="shared" si="21"/>
        <v>G</v>
      </c>
      <c r="F73" s="51">
        <v>0</v>
      </c>
      <c r="G73" s="49">
        <f t="shared" si="22"/>
        <v>0</v>
      </c>
      <c r="H73" s="49">
        <f t="shared" si="23"/>
        <v>1</v>
      </c>
      <c r="I73" s="49">
        <f t="shared" si="24"/>
        <v>0</v>
      </c>
      <c r="J73" s="49">
        <f t="shared" si="25"/>
        <v>0</v>
      </c>
      <c r="K73" s="49">
        <f t="shared" si="26"/>
        <v>0</v>
      </c>
      <c r="L73" s="49">
        <f t="shared" si="27"/>
        <v>1</v>
      </c>
      <c r="M73" s="49">
        <f t="shared" si="28"/>
        <v>0</v>
      </c>
      <c r="N73" s="29" t="str">
        <f t="shared" si="18"/>
        <v/>
      </c>
      <c r="O73" s="29">
        <f t="shared" si="19"/>
        <v>8.6</v>
      </c>
      <c r="P73" s="29">
        <f t="shared" si="20"/>
        <v>0</v>
      </c>
      <c r="Q73" s="29">
        <f>IF(A73&lt;&gt;"",SUM(F$2:F73),Q72)</f>
        <v>6</v>
      </c>
      <c r="R73" s="30">
        <f t="shared" si="29"/>
        <v>0</v>
      </c>
    </row>
    <row r="74" spans="1:18" x14ac:dyDescent="0.25">
      <c r="A74" s="27" t="str">
        <f>IF('Data Sheet'!A74="","",'Data Sheet'!A74)</f>
        <v>PG</v>
      </c>
      <c r="B74" s="28" t="str">
        <f>IF('Data Sheet'!B74="","",'Data Sheet'!B74)</f>
        <v>Raul Neto</v>
      </c>
      <c r="C74" s="28">
        <f>IF('Data Sheet'!C74="","",'Data Sheet'!C74)</f>
        <v>3200</v>
      </c>
      <c r="D74" s="28">
        <f>IF('Data Sheet'!D74="","",'Data Sheet'!D74)</f>
        <v>10</v>
      </c>
      <c r="E74" s="29" t="str">
        <f t="shared" si="21"/>
        <v>G</v>
      </c>
      <c r="F74" s="51">
        <v>0</v>
      </c>
      <c r="G74" s="49">
        <f t="shared" si="22"/>
        <v>0</v>
      </c>
      <c r="H74" s="49">
        <f t="shared" si="23"/>
        <v>0</v>
      </c>
      <c r="I74" s="49">
        <f t="shared" si="24"/>
        <v>0</v>
      </c>
      <c r="J74" s="49">
        <f t="shared" si="25"/>
        <v>1</v>
      </c>
      <c r="K74" s="49">
        <f t="shared" si="26"/>
        <v>0</v>
      </c>
      <c r="L74" s="49">
        <f t="shared" si="27"/>
        <v>1</v>
      </c>
      <c r="M74" s="49">
        <f t="shared" si="28"/>
        <v>0</v>
      </c>
      <c r="N74" s="29" t="str">
        <f t="shared" si="18"/>
        <v/>
      </c>
      <c r="O74" s="29">
        <f t="shared" si="19"/>
        <v>10</v>
      </c>
      <c r="P74" s="29">
        <f t="shared" si="20"/>
        <v>0</v>
      </c>
      <c r="Q74" s="29">
        <f>IF(A74&lt;&gt;"",SUM(F$2:F74),Q73)</f>
        <v>6</v>
      </c>
      <c r="R74" s="30">
        <f t="shared" si="29"/>
        <v>0</v>
      </c>
    </row>
    <row r="75" spans="1:18" x14ac:dyDescent="0.25">
      <c r="A75" s="27" t="str">
        <f>IF('Data Sheet'!A75="","",'Data Sheet'!A75)</f>
        <v>SG</v>
      </c>
      <c r="B75" s="28" t="str">
        <f>IF('Data Sheet'!B75="","",'Data Sheet'!B75)</f>
        <v>Rodney Hood</v>
      </c>
      <c r="C75" s="28">
        <f>IF('Data Sheet'!C75="","",'Data Sheet'!C75)</f>
        <v>4900</v>
      </c>
      <c r="D75" s="28">
        <f>IF('Data Sheet'!D75="","",'Data Sheet'!D75)</f>
        <v>27</v>
      </c>
      <c r="E75" s="29" t="str">
        <f t="shared" si="21"/>
        <v>G</v>
      </c>
      <c r="F75" s="51">
        <v>1</v>
      </c>
      <c r="G75" s="49">
        <f t="shared" si="22"/>
        <v>0</v>
      </c>
      <c r="H75" s="49">
        <f t="shared" si="23"/>
        <v>1</v>
      </c>
      <c r="I75" s="49">
        <f t="shared" si="24"/>
        <v>0</v>
      </c>
      <c r="J75" s="49">
        <f t="shared" si="25"/>
        <v>0</v>
      </c>
      <c r="K75" s="49">
        <f t="shared" si="26"/>
        <v>0</v>
      </c>
      <c r="L75" s="49">
        <f t="shared" si="27"/>
        <v>1</v>
      </c>
      <c r="M75" s="49">
        <f t="shared" si="28"/>
        <v>0</v>
      </c>
      <c r="N75" s="29" t="str">
        <f t="shared" si="18"/>
        <v/>
      </c>
      <c r="O75" s="29">
        <f t="shared" si="19"/>
        <v>27</v>
      </c>
      <c r="P75" s="29">
        <f t="shared" si="20"/>
        <v>27</v>
      </c>
      <c r="Q75" s="29">
        <f>IF(A75&lt;&gt;"",SUM(F$2:F75),Q74)</f>
        <v>7</v>
      </c>
      <c r="R75" s="30">
        <f t="shared" si="29"/>
        <v>7</v>
      </c>
    </row>
    <row r="76" spans="1:18" x14ac:dyDescent="0.25">
      <c r="A76" s="27" t="str">
        <f>IF('Data Sheet'!A76="","",'Data Sheet'!A76)</f>
        <v>C</v>
      </c>
      <c r="B76" s="28" t="str">
        <f>IF('Data Sheet'!B76="","",'Data Sheet'!B76)</f>
        <v>Rudy Gobert</v>
      </c>
      <c r="C76" s="28">
        <f>IF('Data Sheet'!C76="","",'Data Sheet'!C76)</f>
        <v>6200</v>
      </c>
      <c r="D76" s="28">
        <f>IF('Data Sheet'!D76="","",'Data Sheet'!D76)</f>
        <v>0</v>
      </c>
      <c r="E76" s="29" t="str">
        <f t="shared" si="21"/>
        <v>C</v>
      </c>
      <c r="F76" s="51">
        <v>0</v>
      </c>
      <c r="G76" s="49">
        <f t="shared" si="22"/>
        <v>0</v>
      </c>
      <c r="H76" s="49">
        <f t="shared" si="23"/>
        <v>0</v>
      </c>
      <c r="I76" s="49">
        <f t="shared" si="24"/>
        <v>1</v>
      </c>
      <c r="J76" s="49">
        <f t="shared" si="25"/>
        <v>0</v>
      </c>
      <c r="K76" s="49">
        <f t="shared" si="26"/>
        <v>0</v>
      </c>
      <c r="L76" s="49">
        <f t="shared" si="27"/>
        <v>0</v>
      </c>
      <c r="M76" s="49">
        <f t="shared" si="28"/>
        <v>0</v>
      </c>
      <c r="N76" s="29" t="str">
        <f t="shared" si="18"/>
        <v/>
      </c>
      <c r="O76" s="29">
        <f t="shared" si="19"/>
        <v>0</v>
      </c>
      <c r="P76" s="29">
        <f t="shared" si="20"/>
        <v>0</v>
      </c>
      <c r="Q76" s="29">
        <f>IF(A76&lt;&gt;"",SUM(F$2:F76),Q75)</f>
        <v>7</v>
      </c>
      <c r="R76" s="30">
        <f t="shared" si="29"/>
        <v>0</v>
      </c>
    </row>
    <row r="77" spans="1:18" x14ac:dyDescent="0.25">
      <c r="A77" s="27" t="str">
        <f>IF('Data Sheet'!A77="","",'Data Sheet'!A77)</f>
        <v>C</v>
      </c>
      <c r="B77" s="28" t="str">
        <f>IF('Data Sheet'!B77="","",'Data Sheet'!B77)</f>
        <v>Tibor Pleiss</v>
      </c>
      <c r="C77" s="28">
        <f>IF('Data Sheet'!C77="","",'Data Sheet'!C77)</f>
        <v>3000</v>
      </c>
      <c r="D77" s="28">
        <f>IF('Data Sheet'!D77="","",'Data Sheet'!D77)</f>
        <v>0</v>
      </c>
      <c r="E77" s="29" t="str">
        <f t="shared" si="21"/>
        <v>C</v>
      </c>
      <c r="F77" s="51">
        <v>0</v>
      </c>
      <c r="G77" s="49">
        <f t="shared" si="22"/>
        <v>0</v>
      </c>
      <c r="H77" s="49">
        <f t="shared" si="23"/>
        <v>0</v>
      </c>
      <c r="I77" s="49">
        <f t="shared" si="24"/>
        <v>1</v>
      </c>
      <c r="J77" s="49">
        <f t="shared" si="25"/>
        <v>0</v>
      </c>
      <c r="K77" s="49">
        <f t="shared" si="26"/>
        <v>0</v>
      </c>
      <c r="L77" s="49">
        <f t="shared" si="27"/>
        <v>0</v>
      </c>
      <c r="M77" s="49">
        <f t="shared" si="28"/>
        <v>0</v>
      </c>
      <c r="N77" s="29" t="str">
        <f t="shared" si="18"/>
        <v/>
      </c>
      <c r="O77" s="29">
        <f t="shared" si="19"/>
        <v>0</v>
      </c>
      <c r="P77" s="29">
        <f t="shared" si="20"/>
        <v>0</v>
      </c>
      <c r="Q77" s="29">
        <f>IF(A77&lt;&gt;"",SUM(F$2:F77),Q76)</f>
        <v>7</v>
      </c>
      <c r="R77" s="30">
        <f t="shared" si="29"/>
        <v>0</v>
      </c>
    </row>
    <row r="78" spans="1:18" x14ac:dyDescent="0.25">
      <c r="A78" s="27" t="str">
        <f>IF('Data Sheet'!A78="","",'Data Sheet'!A78)</f>
        <v>PF</v>
      </c>
      <c r="B78" s="28" t="str">
        <f>IF('Data Sheet'!B78="","",'Data Sheet'!B78)</f>
        <v>Trevor Booker</v>
      </c>
      <c r="C78" s="28">
        <f>IF('Data Sheet'!C78="","",'Data Sheet'!C78)</f>
        <v>4600</v>
      </c>
      <c r="D78" s="28">
        <f>IF('Data Sheet'!D78="","",'Data Sheet'!D78)</f>
        <v>16.8</v>
      </c>
      <c r="E78" s="29" t="str">
        <f t="shared" si="21"/>
        <v>F</v>
      </c>
      <c r="F78" s="51">
        <v>0</v>
      </c>
      <c r="G78" s="49">
        <f t="shared" si="22"/>
        <v>0</v>
      </c>
      <c r="H78" s="49">
        <f t="shared" si="23"/>
        <v>0</v>
      </c>
      <c r="I78" s="49">
        <f t="shared" si="24"/>
        <v>0</v>
      </c>
      <c r="J78" s="49">
        <f t="shared" si="25"/>
        <v>0</v>
      </c>
      <c r="K78" s="49">
        <f t="shared" si="26"/>
        <v>1</v>
      </c>
      <c r="L78" s="49">
        <f t="shared" si="27"/>
        <v>0</v>
      </c>
      <c r="M78" s="49">
        <f t="shared" si="28"/>
        <v>1</v>
      </c>
      <c r="N78" s="29" t="str">
        <f t="shared" si="18"/>
        <v/>
      </c>
      <c r="O78" s="29">
        <f t="shared" si="19"/>
        <v>16.8</v>
      </c>
      <c r="P78" s="29">
        <f t="shared" si="20"/>
        <v>0</v>
      </c>
      <c r="Q78" s="29">
        <f>IF(A78&lt;&gt;"",SUM(F$2:F78),Q77)</f>
        <v>7</v>
      </c>
      <c r="R78" s="30">
        <f t="shared" si="29"/>
        <v>0</v>
      </c>
    </row>
    <row r="79" spans="1:18" x14ac:dyDescent="0.25">
      <c r="A79" s="27" t="str">
        <f>IF('Data Sheet'!A79="","",'Data Sheet'!A79)</f>
        <v>PG</v>
      </c>
      <c r="B79" s="28" t="str">
        <f>IF('Data Sheet'!B79="","",'Data Sheet'!B79)</f>
        <v>Trey Burke</v>
      </c>
      <c r="C79" s="28">
        <f>IF('Data Sheet'!C79="","",'Data Sheet'!C79)</f>
        <v>3900</v>
      </c>
      <c r="D79" s="28">
        <f>IF('Data Sheet'!D79="","",'Data Sheet'!D79)</f>
        <v>28.5</v>
      </c>
      <c r="E79" s="29" t="str">
        <f t="shared" si="21"/>
        <v>G</v>
      </c>
      <c r="F79" s="51">
        <v>1</v>
      </c>
      <c r="G79" s="49">
        <f t="shared" si="22"/>
        <v>0</v>
      </c>
      <c r="H79" s="49">
        <f t="shared" si="23"/>
        <v>0</v>
      </c>
      <c r="I79" s="49">
        <f t="shared" si="24"/>
        <v>0</v>
      </c>
      <c r="J79" s="49">
        <f t="shared" si="25"/>
        <v>1</v>
      </c>
      <c r="K79" s="49">
        <f t="shared" si="26"/>
        <v>0</v>
      </c>
      <c r="L79" s="49">
        <f t="shared" si="27"/>
        <v>1</v>
      </c>
      <c r="M79" s="49">
        <f t="shared" si="28"/>
        <v>0</v>
      </c>
      <c r="N79" s="29" t="str">
        <f t="shared" si="18"/>
        <v/>
      </c>
      <c r="O79" s="29">
        <f t="shared" si="19"/>
        <v>28.5</v>
      </c>
      <c r="P79" s="29">
        <f t="shared" si="20"/>
        <v>28.5</v>
      </c>
      <c r="Q79" s="29">
        <f>IF(A79&lt;&gt;"",SUM(F$2:F79),Q78)</f>
        <v>8</v>
      </c>
      <c r="R79" s="30">
        <f t="shared" si="29"/>
        <v>8</v>
      </c>
    </row>
    <row r="80" spans="1:18" x14ac:dyDescent="0.25">
      <c r="A80" s="27" t="str">
        <f>IF('Data Sheet'!A80="","",'Data Sheet'!A80)</f>
        <v>PF</v>
      </c>
      <c r="B80" s="28" t="str">
        <f>IF('Data Sheet'!B80="","",'Data Sheet'!B80)</f>
        <v>Trey Lyles</v>
      </c>
      <c r="C80" s="28">
        <f>IF('Data Sheet'!C80="","",'Data Sheet'!C80)</f>
        <v>3100</v>
      </c>
      <c r="D80" s="28">
        <f>IF('Data Sheet'!D80="","",'Data Sheet'!D80)</f>
        <v>20.7</v>
      </c>
      <c r="E80" s="29" t="str">
        <f t="shared" si="21"/>
        <v>F</v>
      </c>
      <c r="F80" s="51">
        <v>0</v>
      </c>
      <c r="G80" s="49">
        <f t="shared" si="22"/>
        <v>0</v>
      </c>
      <c r="H80" s="49">
        <f t="shared" si="23"/>
        <v>0</v>
      </c>
      <c r="I80" s="49">
        <f t="shared" si="24"/>
        <v>0</v>
      </c>
      <c r="J80" s="49">
        <f t="shared" si="25"/>
        <v>0</v>
      </c>
      <c r="K80" s="49">
        <f t="shared" si="26"/>
        <v>1</v>
      </c>
      <c r="L80" s="49">
        <f t="shared" si="27"/>
        <v>0</v>
      </c>
      <c r="M80" s="49">
        <f t="shared" si="28"/>
        <v>1</v>
      </c>
      <c r="N80" s="29" t="str">
        <f t="shared" si="18"/>
        <v/>
      </c>
      <c r="O80" s="29">
        <f t="shared" si="19"/>
        <v>20.7</v>
      </c>
      <c r="P80" s="29">
        <f t="shared" si="20"/>
        <v>0</v>
      </c>
      <c r="Q80" s="29">
        <f>IF(A80&lt;&gt;"",SUM(F$2:F80),Q79)</f>
        <v>8</v>
      </c>
      <c r="R80" s="30">
        <f t="shared" si="29"/>
        <v>0</v>
      </c>
    </row>
    <row r="81" spans="1:18" x14ac:dyDescent="0.25">
      <c r="A81" s="27" t="str">
        <f>IF('Data Sheet'!A81="","",'Data Sheet'!A81)</f>
        <v/>
      </c>
      <c r="B81" s="28" t="str">
        <f>IF('Data Sheet'!B81="","",'Data Sheet'!B81)</f>
        <v/>
      </c>
      <c r="C81" s="28" t="str">
        <f>IF('Data Sheet'!C81="","",'Data Sheet'!C81)</f>
        <v/>
      </c>
      <c r="D81" s="28" t="str">
        <f>IF('Data Sheet'!D81="","",'Data Sheet'!D81)</f>
        <v/>
      </c>
      <c r="E81" s="29" t="str">
        <f t="shared" si="21"/>
        <v>C</v>
      </c>
      <c r="F81" s="51">
        <v>0</v>
      </c>
      <c r="G81" s="49">
        <f t="shared" si="22"/>
        <v>0</v>
      </c>
      <c r="H81" s="49">
        <f t="shared" si="23"/>
        <v>0</v>
      </c>
      <c r="I81" s="49">
        <f t="shared" si="24"/>
        <v>0</v>
      </c>
      <c r="J81" s="49">
        <f t="shared" si="25"/>
        <v>0</v>
      </c>
      <c r="K81" s="49">
        <f t="shared" si="26"/>
        <v>0</v>
      </c>
      <c r="L81" s="49">
        <f t="shared" si="27"/>
        <v>0</v>
      </c>
      <c r="M81" s="49">
        <f t="shared" si="28"/>
        <v>0</v>
      </c>
      <c r="N81" s="29" t="str">
        <f t="shared" si="18"/>
        <v/>
      </c>
      <c r="O81" s="29">
        <f t="shared" si="19"/>
        <v>0</v>
      </c>
      <c r="P81" s="29">
        <f t="shared" si="20"/>
        <v>0</v>
      </c>
      <c r="Q81" s="29">
        <f>IF(A81&lt;&gt;"",SUM(F$2:F81),Q80)</f>
        <v>8</v>
      </c>
      <c r="R81" s="30">
        <f t="shared" si="29"/>
        <v>0</v>
      </c>
    </row>
    <row r="82" spans="1:18" x14ac:dyDescent="0.25">
      <c r="A82" s="27" t="str">
        <f>IF('Data Sheet'!A82="","",'Data Sheet'!A82)</f>
        <v/>
      </c>
      <c r="B82" s="28" t="str">
        <f>IF('Data Sheet'!B82="","",'Data Sheet'!B82)</f>
        <v/>
      </c>
      <c r="C82" s="28" t="str">
        <f>IF('Data Sheet'!C82="","",'Data Sheet'!C82)</f>
        <v/>
      </c>
      <c r="D82" s="28" t="str">
        <f>IF('Data Sheet'!D82="","",'Data Sheet'!D82)</f>
        <v/>
      </c>
      <c r="E82" s="29" t="str">
        <f t="shared" si="21"/>
        <v>C</v>
      </c>
      <c r="F82" s="51">
        <v>0</v>
      </c>
      <c r="G82" s="49">
        <f t="shared" si="22"/>
        <v>0</v>
      </c>
      <c r="H82" s="49">
        <f t="shared" si="23"/>
        <v>0</v>
      </c>
      <c r="I82" s="49">
        <f t="shared" si="24"/>
        <v>0</v>
      </c>
      <c r="J82" s="49">
        <f t="shared" si="25"/>
        <v>0</v>
      </c>
      <c r="K82" s="49">
        <f t="shared" si="26"/>
        <v>0</v>
      </c>
      <c r="L82" s="49">
        <f t="shared" si="27"/>
        <v>0</v>
      </c>
      <c r="M82" s="49">
        <f t="shared" si="28"/>
        <v>0</v>
      </c>
      <c r="N82" s="29" t="str">
        <f t="shared" si="18"/>
        <v/>
      </c>
      <c r="O82" s="29">
        <f t="shared" si="19"/>
        <v>0</v>
      </c>
      <c r="P82" s="29">
        <f t="shared" si="20"/>
        <v>0</v>
      </c>
      <c r="Q82" s="29">
        <f>IF(A82&lt;&gt;"",SUM(F$2:F82),Q81)</f>
        <v>8</v>
      </c>
      <c r="R82" s="30">
        <f t="shared" si="29"/>
        <v>0</v>
      </c>
    </row>
    <row r="83" spans="1:18" x14ac:dyDescent="0.25">
      <c r="A83" s="27" t="str">
        <f>IF('Data Sheet'!A83="","",'Data Sheet'!A83)</f>
        <v/>
      </c>
      <c r="B83" s="28" t="str">
        <f>IF('Data Sheet'!B83="","",'Data Sheet'!B83)</f>
        <v/>
      </c>
      <c r="C83" s="28" t="str">
        <f>IF('Data Sheet'!C83="","",'Data Sheet'!C83)</f>
        <v/>
      </c>
      <c r="D83" s="28" t="str">
        <f>IF('Data Sheet'!D83="","",'Data Sheet'!D83)</f>
        <v/>
      </c>
      <c r="E83" s="29" t="str">
        <f t="shared" si="21"/>
        <v>C</v>
      </c>
      <c r="F83" s="51">
        <v>0</v>
      </c>
      <c r="G83" s="49">
        <f t="shared" si="22"/>
        <v>0</v>
      </c>
      <c r="H83" s="49">
        <f t="shared" si="23"/>
        <v>0</v>
      </c>
      <c r="I83" s="49">
        <f t="shared" si="24"/>
        <v>0</v>
      </c>
      <c r="J83" s="49">
        <f t="shared" si="25"/>
        <v>0</v>
      </c>
      <c r="K83" s="49">
        <f t="shared" si="26"/>
        <v>0</v>
      </c>
      <c r="L83" s="49">
        <f t="shared" si="27"/>
        <v>0</v>
      </c>
      <c r="M83" s="49">
        <f t="shared" si="28"/>
        <v>0</v>
      </c>
      <c r="N83" s="29" t="str">
        <f t="shared" si="18"/>
        <v/>
      </c>
      <c r="O83" s="29">
        <f t="shared" si="19"/>
        <v>0</v>
      </c>
      <c r="P83" s="29">
        <f t="shared" si="20"/>
        <v>0</v>
      </c>
      <c r="Q83" s="29">
        <f>IF(A83&lt;&gt;"",SUM(F$2:F83),Q82)</f>
        <v>8</v>
      </c>
      <c r="R83" s="30">
        <f t="shared" si="29"/>
        <v>0</v>
      </c>
    </row>
    <row r="84" spans="1:18" x14ac:dyDescent="0.25">
      <c r="A84" s="27" t="str">
        <f>IF('Data Sheet'!A84="","",'Data Sheet'!A84)</f>
        <v/>
      </c>
      <c r="B84" s="28" t="str">
        <f>IF('Data Sheet'!B84="","",'Data Sheet'!B84)</f>
        <v/>
      </c>
      <c r="C84" s="28" t="str">
        <f>IF('Data Sheet'!C84="","",'Data Sheet'!C84)</f>
        <v/>
      </c>
      <c r="D84" s="28" t="str">
        <f>IF('Data Sheet'!D84="","",'Data Sheet'!D84)</f>
        <v/>
      </c>
      <c r="E84" s="29" t="str">
        <f t="shared" si="21"/>
        <v>C</v>
      </c>
      <c r="F84" s="51">
        <v>0</v>
      </c>
      <c r="G84" s="49">
        <f t="shared" si="22"/>
        <v>0</v>
      </c>
      <c r="H84" s="49">
        <f t="shared" si="23"/>
        <v>0</v>
      </c>
      <c r="I84" s="49">
        <f t="shared" si="24"/>
        <v>0</v>
      </c>
      <c r="J84" s="49">
        <f t="shared" si="25"/>
        <v>0</v>
      </c>
      <c r="K84" s="49">
        <f t="shared" si="26"/>
        <v>0</v>
      </c>
      <c r="L84" s="49">
        <f t="shared" si="27"/>
        <v>0</v>
      </c>
      <c r="M84" s="49">
        <f t="shared" si="28"/>
        <v>0</v>
      </c>
      <c r="N84" s="29" t="str">
        <f t="shared" si="18"/>
        <v/>
      </c>
      <c r="O84" s="29">
        <f t="shared" si="19"/>
        <v>0</v>
      </c>
      <c r="P84" s="29">
        <f t="shared" si="20"/>
        <v>0</v>
      </c>
      <c r="Q84" s="29">
        <f>IF(A84&lt;&gt;"",SUM(F$2:F84),Q83)</f>
        <v>8</v>
      </c>
      <c r="R84" s="30">
        <f t="shared" si="29"/>
        <v>0</v>
      </c>
    </row>
    <row r="85" spans="1:18" x14ac:dyDescent="0.25">
      <c r="A85" s="27" t="str">
        <f>IF('Data Sheet'!A85="","",'Data Sheet'!A85)</f>
        <v/>
      </c>
      <c r="B85" s="28" t="str">
        <f>IF('Data Sheet'!B85="","",'Data Sheet'!B85)</f>
        <v/>
      </c>
      <c r="C85" s="28" t="str">
        <f>IF('Data Sheet'!C85="","",'Data Sheet'!C85)</f>
        <v/>
      </c>
      <c r="D85" s="28" t="str">
        <f>IF('Data Sheet'!D85="","",'Data Sheet'!D85)</f>
        <v/>
      </c>
      <c r="E85" s="29" t="str">
        <f t="shared" si="21"/>
        <v>C</v>
      </c>
      <c r="F85" s="51">
        <v>0</v>
      </c>
      <c r="G85" s="49">
        <f t="shared" si="22"/>
        <v>0</v>
      </c>
      <c r="H85" s="49">
        <f t="shared" si="23"/>
        <v>0</v>
      </c>
      <c r="I85" s="49">
        <f t="shared" si="24"/>
        <v>0</v>
      </c>
      <c r="J85" s="49">
        <f t="shared" si="25"/>
        <v>0</v>
      </c>
      <c r="K85" s="49">
        <f t="shared" si="26"/>
        <v>0</v>
      </c>
      <c r="L85" s="49">
        <f t="shared" si="27"/>
        <v>0</v>
      </c>
      <c r="M85" s="49">
        <f t="shared" si="28"/>
        <v>0</v>
      </c>
      <c r="N85" s="29" t="str">
        <f t="shared" si="18"/>
        <v/>
      </c>
      <c r="O85" s="29">
        <f t="shared" si="19"/>
        <v>0</v>
      </c>
      <c r="P85" s="29">
        <f t="shared" si="20"/>
        <v>0</v>
      </c>
      <c r="Q85" s="29">
        <f>IF(A85&lt;&gt;"",SUM(F$2:F85),Q84)</f>
        <v>8</v>
      </c>
      <c r="R85" s="30">
        <f t="shared" si="29"/>
        <v>0</v>
      </c>
    </row>
    <row r="86" spans="1:18" x14ac:dyDescent="0.25">
      <c r="A86" s="27" t="str">
        <f>IF('Data Sheet'!A86="","",'Data Sheet'!A86)</f>
        <v/>
      </c>
      <c r="B86" s="28" t="str">
        <f>IF('Data Sheet'!B86="","",'Data Sheet'!B86)</f>
        <v/>
      </c>
      <c r="C86" s="28" t="str">
        <f>IF('Data Sheet'!C86="","",'Data Sheet'!C86)</f>
        <v/>
      </c>
      <c r="D86" s="28" t="str">
        <f>IF('Data Sheet'!D86="","",'Data Sheet'!D86)</f>
        <v/>
      </c>
      <c r="E86" s="29" t="str">
        <f t="shared" si="21"/>
        <v>C</v>
      </c>
      <c r="F86" s="51">
        <v>0</v>
      </c>
      <c r="G86" s="49">
        <f t="shared" si="22"/>
        <v>0</v>
      </c>
      <c r="H86" s="49">
        <f t="shared" si="23"/>
        <v>0</v>
      </c>
      <c r="I86" s="49">
        <f t="shared" si="24"/>
        <v>0</v>
      </c>
      <c r="J86" s="49">
        <f t="shared" si="25"/>
        <v>0</v>
      </c>
      <c r="K86" s="49">
        <f t="shared" si="26"/>
        <v>0</v>
      </c>
      <c r="L86" s="49">
        <f t="shared" si="27"/>
        <v>0</v>
      </c>
      <c r="M86" s="49">
        <f t="shared" si="28"/>
        <v>0</v>
      </c>
      <c r="N86" s="29" t="str">
        <f t="shared" si="18"/>
        <v/>
      </c>
      <c r="O86" s="29">
        <f t="shared" si="19"/>
        <v>0</v>
      </c>
      <c r="P86" s="29">
        <f t="shared" si="20"/>
        <v>0</v>
      </c>
      <c r="Q86" s="29">
        <f>IF(A86&lt;&gt;"",SUM(F$2:F86),Q85)</f>
        <v>8</v>
      </c>
      <c r="R86" s="30">
        <f t="shared" si="29"/>
        <v>0</v>
      </c>
    </row>
    <row r="87" spans="1:18" x14ac:dyDescent="0.25">
      <c r="A87" s="27" t="str">
        <f>IF('Data Sheet'!A87="","",'Data Sheet'!A87)</f>
        <v/>
      </c>
      <c r="B87" s="28" t="str">
        <f>IF('Data Sheet'!B87="","",'Data Sheet'!B87)</f>
        <v/>
      </c>
      <c r="C87" s="28" t="str">
        <f>IF('Data Sheet'!C87="","",'Data Sheet'!C87)</f>
        <v/>
      </c>
      <c r="D87" s="28" t="str">
        <f>IF('Data Sheet'!D87="","",'Data Sheet'!D87)</f>
        <v/>
      </c>
      <c r="E87" s="29" t="str">
        <f t="shared" si="21"/>
        <v>C</v>
      </c>
      <c r="F87" s="51">
        <v>0</v>
      </c>
      <c r="G87" s="49">
        <f t="shared" si="22"/>
        <v>0</v>
      </c>
      <c r="H87" s="49">
        <f t="shared" si="23"/>
        <v>0</v>
      </c>
      <c r="I87" s="49">
        <f t="shared" si="24"/>
        <v>0</v>
      </c>
      <c r="J87" s="49">
        <f t="shared" si="25"/>
        <v>0</v>
      </c>
      <c r="K87" s="49">
        <f t="shared" si="26"/>
        <v>0</v>
      </c>
      <c r="L87" s="49">
        <f t="shared" si="27"/>
        <v>0</v>
      </c>
      <c r="M87" s="49">
        <f t="shared" si="28"/>
        <v>0</v>
      </c>
      <c r="N87" s="29" t="str">
        <f t="shared" si="18"/>
        <v/>
      </c>
      <c r="O87" s="29">
        <f t="shared" si="19"/>
        <v>0</v>
      </c>
      <c r="P87" s="29">
        <f t="shared" si="20"/>
        <v>0</v>
      </c>
      <c r="Q87" s="29">
        <f>IF(A87&lt;&gt;"",SUM(F$2:F87),Q86)</f>
        <v>8</v>
      </c>
      <c r="R87" s="30">
        <f t="shared" si="29"/>
        <v>0</v>
      </c>
    </row>
    <row r="88" spans="1:18" x14ac:dyDescent="0.25">
      <c r="A88" s="27" t="str">
        <f>IF('Data Sheet'!A88="","",'Data Sheet'!A88)</f>
        <v/>
      </c>
      <c r="B88" s="28" t="str">
        <f>IF('Data Sheet'!B88="","",'Data Sheet'!B88)</f>
        <v/>
      </c>
      <c r="C88" s="28" t="str">
        <f>IF('Data Sheet'!C88="","",'Data Sheet'!C88)</f>
        <v/>
      </c>
      <c r="D88" s="28" t="str">
        <f>IF('Data Sheet'!D88="","",'Data Sheet'!D88)</f>
        <v/>
      </c>
      <c r="E88" s="29" t="str">
        <f t="shared" si="21"/>
        <v>C</v>
      </c>
      <c r="F88" s="51">
        <v>0</v>
      </c>
      <c r="G88" s="49">
        <f t="shared" si="22"/>
        <v>0</v>
      </c>
      <c r="H88" s="49">
        <f t="shared" si="23"/>
        <v>0</v>
      </c>
      <c r="I88" s="49">
        <f t="shared" si="24"/>
        <v>0</v>
      </c>
      <c r="J88" s="49">
        <f t="shared" si="25"/>
        <v>0</v>
      </c>
      <c r="K88" s="49">
        <f t="shared" si="26"/>
        <v>0</v>
      </c>
      <c r="L88" s="49">
        <f t="shared" si="27"/>
        <v>0</v>
      </c>
      <c r="M88" s="49">
        <f t="shared" si="28"/>
        <v>0</v>
      </c>
      <c r="N88" s="29" t="str">
        <f t="shared" si="18"/>
        <v/>
      </c>
      <c r="O88" s="29">
        <f t="shared" si="19"/>
        <v>0</v>
      </c>
      <c r="P88" s="29">
        <f t="shared" si="20"/>
        <v>0</v>
      </c>
      <c r="Q88" s="29">
        <f>IF(A88&lt;&gt;"",SUM(F$2:F88),Q87)</f>
        <v>8</v>
      </c>
      <c r="R88" s="30">
        <f t="shared" si="29"/>
        <v>0</v>
      </c>
    </row>
    <row r="89" spans="1:18" x14ac:dyDescent="0.25">
      <c r="A89" s="27" t="str">
        <f>IF('Data Sheet'!A89="","",'Data Sheet'!A89)</f>
        <v/>
      </c>
      <c r="B89" s="28" t="str">
        <f>IF('Data Sheet'!B89="","",'Data Sheet'!B89)</f>
        <v/>
      </c>
      <c r="C89" s="28" t="str">
        <f>IF('Data Sheet'!C89="","",'Data Sheet'!C89)</f>
        <v/>
      </c>
      <c r="D89" s="28" t="str">
        <f>IF('Data Sheet'!D89="","",'Data Sheet'!D89)</f>
        <v/>
      </c>
      <c r="E89" s="29" t="str">
        <f t="shared" si="21"/>
        <v>C</v>
      </c>
      <c r="F89" s="51">
        <v>0</v>
      </c>
      <c r="G89" s="49">
        <f t="shared" si="22"/>
        <v>0</v>
      </c>
      <c r="H89" s="49">
        <f t="shared" si="23"/>
        <v>0</v>
      </c>
      <c r="I89" s="49">
        <f t="shared" si="24"/>
        <v>0</v>
      </c>
      <c r="J89" s="49">
        <f t="shared" si="25"/>
        <v>0</v>
      </c>
      <c r="K89" s="49">
        <f t="shared" si="26"/>
        <v>0</v>
      </c>
      <c r="L89" s="49">
        <f t="shared" si="27"/>
        <v>0</v>
      </c>
      <c r="M89" s="49">
        <f t="shared" si="28"/>
        <v>0</v>
      </c>
      <c r="N89" s="29" t="str">
        <f t="shared" si="18"/>
        <v/>
      </c>
      <c r="O89" s="29">
        <f t="shared" si="19"/>
        <v>0</v>
      </c>
      <c r="P89" s="29">
        <f t="shared" si="20"/>
        <v>0</v>
      </c>
      <c r="Q89" s="29">
        <f>IF(A89&lt;&gt;"",SUM(F$2:F89),Q88)</f>
        <v>8</v>
      </c>
      <c r="R89" s="30">
        <f t="shared" si="29"/>
        <v>0</v>
      </c>
    </row>
    <row r="90" spans="1:18" x14ac:dyDescent="0.25">
      <c r="A90" s="27" t="str">
        <f>IF('Data Sheet'!A90="","",'Data Sheet'!A90)</f>
        <v/>
      </c>
      <c r="B90" s="28" t="str">
        <f>IF('Data Sheet'!B90="","",'Data Sheet'!B90)</f>
        <v/>
      </c>
      <c r="C90" s="28" t="str">
        <f>IF('Data Sheet'!C90="","",'Data Sheet'!C90)</f>
        <v/>
      </c>
      <c r="D90" s="28" t="str">
        <f>IF('Data Sheet'!D90="","",'Data Sheet'!D90)</f>
        <v/>
      </c>
      <c r="E90" s="29" t="str">
        <f t="shared" si="21"/>
        <v>C</v>
      </c>
      <c r="F90" s="51">
        <v>0</v>
      </c>
      <c r="G90" s="49">
        <f t="shared" si="22"/>
        <v>0</v>
      </c>
      <c r="H90" s="49">
        <f t="shared" si="23"/>
        <v>0</v>
      </c>
      <c r="I90" s="49">
        <f t="shared" si="24"/>
        <v>0</v>
      </c>
      <c r="J90" s="49">
        <f t="shared" si="25"/>
        <v>0</v>
      </c>
      <c r="K90" s="49">
        <f t="shared" si="26"/>
        <v>0</v>
      </c>
      <c r="L90" s="49">
        <f t="shared" si="27"/>
        <v>0</v>
      </c>
      <c r="M90" s="49">
        <f t="shared" si="28"/>
        <v>0</v>
      </c>
      <c r="N90" s="29" t="str">
        <f t="shared" si="18"/>
        <v/>
      </c>
      <c r="O90" s="29">
        <f t="shared" si="19"/>
        <v>0</v>
      </c>
      <c r="P90" s="29">
        <f t="shared" si="20"/>
        <v>0</v>
      </c>
      <c r="Q90" s="29">
        <f>IF(A90&lt;&gt;"",SUM(F$2:F90),Q89)</f>
        <v>8</v>
      </c>
      <c r="R90" s="30">
        <f t="shared" si="29"/>
        <v>0</v>
      </c>
    </row>
    <row r="91" spans="1:18" x14ac:dyDescent="0.25">
      <c r="A91" s="27" t="str">
        <f>IF('Data Sheet'!A91="","",'Data Sheet'!A91)</f>
        <v/>
      </c>
      <c r="B91" s="28" t="str">
        <f>IF('Data Sheet'!B91="","",'Data Sheet'!B91)</f>
        <v/>
      </c>
      <c r="C91" s="28" t="str">
        <f>IF('Data Sheet'!C91="","",'Data Sheet'!C91)</f>
        <v/>
      </c>
      <c r="D91" s="28" t="str">
        <f>IF('Data Sheet'!D91="","",'Data Sheet'!D91)</f>
        <v/>
      </c>
      <c r="E91" s="29" t="str">
        <f t="shared" si="21"/>
        <v>C</v>
      </c>
      <c r="F91" s="51">
        <v>0</v>
      </c>
      <c r="G91" s="49">
        <f t="shared" si="22"/>
        <v>0</v>
      </c>
      <c r="H91" s="49">
        <f t="shared" si="23"/>
        <v>0</v>
      </c>
      <c r="I91" s="49">
        <f t="shared" si="24"/>
        <v>0</v>
      </c>
      <c r="J91" s="49">
        <f t="shared" si="25"/>
        <v>0</v>
      </c>
      <c r="K91" s="49">
        <f t="shared" si="26"/>
        <v>0</v>
      </c>
      <c r="L91" s="49">
        <f t="shared" si="27"/>
        <v>0</v>
      </c>
      <c r="M91" s="49">
        <f t="shared" si="28"/>
        <v>0</v>
      </c>
      <c r="N91" s="29" t="str">
        <f t="shared" si="18"/>
        <v/>
      </c>
      <c r="O91" s="29">
        <f t="shared" si="19"/>
        <v>0</v>
      </c>
      <c r="P91" s="29">
        <f t="shared" si="20"/>
        <v>0</v>
      </c>
      <c r="Q91" s="29">
        <f>IF(A91&lt;&gt;"",SUM(F$2:F91),Q90)</f>
        <v>8</v>
      </c>
      <c r="R91" s="30">
        <f t="shared" si="29"/>
        <v>0</v>
      </c>
    </row>
    <row r="92" spans="1:18" x14ac:dyDescent="0.25">
      <c r="A92" s="27" t="str">
        <f>IF('Data Sheet'!A92="","",'Data Sheet'!A92)</f>
        <v/>
      </c>
      <c r="B92" s="28" t="str">
        <f>IF('Data Sheet'!B92="","",'Data Sheet'!B92)</f>
        <v/>
      </c>
      <c r="C92" s="28" t="str">
        <f>IF('Data Sheet'!C92="","",'Data Sheet'!C92)</f>
        <v/>
      </c>
      <c r="D92" s="28" t="str">
        <f>IF('Data Sheet'!D92="","",'Data Sheet'!D92)</f>
        <v/>
      </c>
      <c r="E92" s="29" t="str">
        <f t="shared" si="21"/>
        <v>C</v>
      </c>
      <c r="F92" s="51">
        <v>0</v>
      </c>
      <c r="G92" s="49">
        <f t="shared" si="22"/>
        <v>0</v>
      </c>
      <c r="H92" s="49">
        <f t="shared" si="23"/>
        <v>0</v>
      </c>
      <c r="I92" s="49">
        <f t="shared" si="24"/>
        <v>0</v>
      </c>
      <c r="J92" s="49">
        <f t="shared" si="25"/>
        <v>0</v>
      </c>
      <c r="K92" s="49">
        <f t="shared" si="26"/>
        <v>0</v>
      </c>
      <c r="L92" s="49">
        <f t="shared" si="27"/>
        <v>0</v>
      </c>
      <c r="M92" s="49">
        <f t="shared" si="28"/>
        <v>0</v>
      </c>
      <c r="N92" s="29" t="str">
        <f t="shared" si="18"/>
        <v/>
      </c>
      <c r="O92" s="29">
        <f t="shared" si="19"/>
        <v>0</v>
      </c>
      <c r="P92" s="29">
        <f t="shared" si="20"/>
        <v>0</v>
      </c>
      <c r="Q92" s="29">
        <f>IF(A92&lt;&gt;"",SUM(F$2:F92),Q91)</f>
        <v>8</v>
      </c>
      <c r="R92" s="30">
        <f t="shared" si="29"/>
        <v>0</v>
      </c>
    </row>
    <row r="93" spans="1:18" x14ac:dyDescent="0.25">
      <c r="A93" s="27" t="str">
        <f>IF('Data Sheet'!A93="","",'Data Sheet'!A93)</f>
        <v/>
      </c>
      <c r="B93" s="28" t="str">
        <f>IF('Data Sheet'!B93="","",'Data Sheet'!B93)</f>
        <v/>
      </c>
      <c r="C93" s="28" t="str">
        <f>IF('Data Sheet'!C93="","",'Data Sheet'!C93)</f>
        <v/>
      </c>
      <c r="D93" s="28" t="str">
        <f>IF('Data Sheet'!D93="","",'Data Sheet'!D93)</f>
        <v/>
      </c>
      <c r="E93" s="29" t="str">
        <f t="shared" si="21"/>
        <v>C</v>
      </c>
      <c r="F93" s="51">
        <v>0</v>
      </c>
      <c r="G93" s="49">
        <f t="shared" si="22"/>
        <v>0</v>
      </c>
      <c r="H93" s="49">
        <f t="shared" si="23"/>
        <v>0</v>
      </c>
      <c r="I93" s="49">
        <f t="shared" si="24"/>
        <v>0</v>
      </c>
      <c r="J93" s="49">
        <f t="shared" si="25"/>
        <v>0</v>
      </c>
      <c r="K93" s="49">
        <f t="shared" si="26"/>
        <v>0</v>
      </c>
      <c r="L93" s="49">
        <f t="shared" si="27"/>
        <v>0</v>
      </c>
      <c r="M93" s="49">
        <f t="shared" si="28"/>
        <v>0</v>
      </c>
      <c r="N93" s="29" t="str">
        <f t="shared" si="18"/>
        <v/>
      </c>
      <c r="O93" s="29">
        <f t="shared" si="19"/>
        <v>0</v>
      </c>
      <c r="P93" s="29">
        <f t="shared" si="20"/>
        <v>0</v>
      </c>
      <c r="Q93" s="29">
        <f>IF(A93&lt;&gt;"",SUM(F$2:F93),Q92)</f>
        <v>8</v>
      </c>
      <c r="R93" s="30">
        <f t="shared" si="29"/>
        <v>0</v>
      </c>
    </row>
    <row r="94" spans="1:18" x14ac:dyDescent="0.25">
      <c r="A94" s="27" t="str">
        <f>IF('Data Sheet'!A94="","",'Data Sheet'!A94)</f>
        <v/>
      </c>
      <c r="B94" s="28" t="str">
        <f>IF('Data Sheet'!B94="","",'Data Sheet'!B94)</f>
        <v/>
      </c>
      <c r="C94" s="28" t="str">
        <f>IF('Data Sheet'!C94="","",'Data Sheet'!C94)</f>
        <v/>
      </c>
      <c r="D94" s="28" t="str">
        <f>IF('Data Sheet'!D94="","",'Data Sheet'!D94)</f>
        <v/>
      </c>
      <c r="E94" s="29" t="str">
        <f t="shared" si="21"/>
        <v>C</v>
      </c>
      <c r="F94" s="51">
        <v>0</v>
      </c>
      <c r="G94" s="49">
        <f t="shared" si="22"/>
        <v>0</v>
      </c>
      <c r="H94" s="49">
        <f t="shared" si="23"/>
        <v>0</v>
      </c>
      <c r="I94" s="49">
        <f t="shared" si="24"/>
        <v>0</v>
      </c>
      <c r="J94" s="49">
        <f t="shared" si="25"/>
        <v>0</v>
      </c>
      <c r="K94" s="49">
        <f t="shared" si="26"/>
        <v>0</v>
      </c>
      <c r="L94" s="49">
        <f t="shared" si="27"/>
        <v>0</v>
      </c>
      <c r="M94" s="49">
        <f t="shared" si="28"/>
        <v>0</v>
      </c>
      <c r="N94" s="29" t="str">
        <f t="shared" si="18"/>
        <v/>
      </c>
      <c r="O94" s="29">
        <f t="shared" si="19"/>
        <v>0</v>
      </c>
      <c r="P94" s="29">
        <f t="shared" si="20"/>
        <v>0</v>
      </c>
      <c r="Q94" s="29">
        <f>IF(A94&lt;&gt;"",SUM(F$2:F94),Q93)</f>
        <v>8</v>
      </c>
      <c r="R94" s="30">
        <f t="shared" si="29"/>
        <v>0</v>
      </c>
    </row>
    <row r="95" spans="1:18" x14ac:dyDescent="0.25">
      <c r="A95" s="27" t="str">
        <f>IF('Data Sheet'!A95="","",'Data Sheet'!A95)</f>
        <v/>
      </c>
      <c r="B95" s="28" t="str">
        <f>IF('Data Sheet'!B95="","",'Data Sheet'!B95)</f>
        <v/>
      </c>
      <c r="C95" s="28" t="str">
        <f>IF('Data Sheet'!C95="","",'Data Sheet'!C95)</f>
        <v/>
      </c>
      <c r="D95" s="28" t="str">
        <f>IF('Data Sheet'!D95="","",'Data Sheet'!D95)</f>
        <v/>
      </c>
      <c r="E95" s="29" t="str">
        <f t="shared" si="21"/>
        <v>C</v>
      </c>
      <c r="F95" s="51">
        <v>0</v>
      </c>
      <c r="G95" s="49">
        <f t="shared" si="22"/>
        <v>0</v>
      </c>
      <c r="H95" s="49">
        <f t="shared" si="23"/>
        <v>0</v>
      </c>
      <c r="I95" s="49">
        <f t="shared" si="24"/>
        <v>0</v>
      </c>
      <c r="J95" s="49">
        <f t="shared" si="25"/>
        <v>0</v>
      </c>
      <c r="K95" s="49">
        <f t="shared" si="26"/>
        <v>0</v>
      </c>
      <c r="L95" s="49">
        <f t="shared" si="27"/>
        <v>0</v>
      </c>
      <c r="M95" s="49">
        <f t="shared" si="28"/>
        <v>0</v>
      </c>
      <c r="N95" s="29" t="str">
        <f t="shared" si="18"/>
        <v/>
      </c>
      <c r="O95" s="29">
        <f t="shared" si="19"/>
        <v>0</v>
      </c>
      <c r="P95" s="29">
        <f t="shared" si="20"/>
        <v>0</v>
      </c>
      <c r="Q95" s="29">
        <f>IF(A95&lt;&gt;"",SUM(F$2:F95),Q94)</f>
        <v>8</v>
      </c>
      <c r="R95" s="30">
        <f t="shared" si="29"/>
        <v>0</v>
      </c>
    </row>
    <row r="96" spans="1:18" x14ac:dyDescent="0.25">
      <c r="A96" s="27" t="str">
        <f>IF('Data Sheet'!A96="","",'Data Sheet'!A96)</f>
        <v/>
      </c>
      <c r="B96" s="28" t="str">
        <f>IF('Data Sheet'!B96="","",'Data Sheet'!B96)</f>
        <v/>
      </c>
      <c r="C96" s="28" t="str">
        <f>IF('Data Sheet'!C96="","",'Data Sheet'!C96)</f>
        <v/>
      </c>
      <c r="D96" s="28" t="str">
        <f>IF('Data Sheet'!D96="","",'Data Sheet'!D96)</f>
        <v/>
      </c>
      <c r="E96" s="29" t="str">
        <f t="shared" si="21"/>
        <v>C</v>
      </c>
      <c r="F96" s="51">
        <v>0</v>
      </c>
      <c r="G96" s="49">
        <f t="shared" si="22"/>
        <v>0</v>
      </c>
      <c r="H96" s="49">
        <f t="shared" si="23"/>
        <v>0</v>
      </c>
      <c r="I96" s="49">
        <f t="shared" si="24"/>
        <v>0</v>
      </c>
      <c r="J96" s="49">
        <f t="shared" si="25"/>
        <v>0</v>
      </c>
      <c r="K96" s="49">
        <f t="shared" si="26"/>
        <v>0</v>
      </c>
      <c r="L96" s="49">
        <f t="shared" si="27"/>
        <v>0</v>
      </c>
      <c r="M96" s="49">
        <f t="shared" si="28"/>
        <v>0</v>
      </c>
      <c r="N96" s="29" t="str">
        <f t="shared" si="18"/>
        <v/>
      </c>
      <c r="O96" s="29">
        <f t="shared" si="19"/>
        <v>0</v>
      </c>
      <c r="P96" s="29">
        <f t="shared" si="20"/>
        <v>0</v>
      </c>
      <c r="Q96" s="29">
        <f>IF(A96&lt;&gt;"",SUM(F$2:F96),Q95)</f>
        <v>8</v>
      </c>
      <c r="R96" s="30">
        <f t="shared" si="29"/>
        <v>0</v>
      </c>
    </row>
    <row r="97" spans="1:18" x14ac:dyDescent="0.25">
      <c r="A97" s="27" t="str">
        <f>IF('Data Sheet'!A97="","",'Data Sheet'!A97)</f>
        <v/>
      </c>
      <c r="B97" s="28" t="str">
        <f>IF('Data Sheet'!B97="","",'Data Sheet'!B97)</f>
        <v/>
      </c>
      <c r="C97" s="28" t="str">
        <f>IF('Data Sheet'!C97="","",'Data Sheet'!C97)</f>
        <v/>
      </c>
      <c r="D97" s="28" t="str">
        <f>IF('Data Sheet'!D97="","",'Data Sheet'!D97)</f>
        <v/>
      </c>
      <c r="E97" s="29" t="str">
        <f t="shared" si="21"/>
        <v>C</v>
      </c>
      <c r="F97" s="51">
        <v>0</v>
      </c>
      <c r="G97" s="49">
        <f t="shared" si="22"/>
        <v>0</v>
      </c>
      <c r="H97" s="49">
        <f t="shared" si="23"/>
        <v>0</v>
      </c>
      <c r="I97" s="49">
        <f t="shared" si="24"/>
        <v>0</v>
      </c>
      <c r="J97" s="49">
        <f t="shared" si="25"/>
        <v>0</v>
      </c>
      <c r="K97" s="49">
        <f t="shared" si="26"/>
        <v>0</v>
      </c>
      <c r="L97" s="49">
        <f t="shared" si="27"/>
        <v>0</v>
      </c>
      <c r="M97" s="49">
        <f t="shared" si="28"/>
        <v>0</v>
      </c>
      <c r="N97" s="29" t="str">
        <f t="shared" si="18"/>
        <v/>
      </c>
      <c r="O97" s="29">
        <f t="shared" si="19"/>
        <v>0</v>
      </c>
      <c r="P97" s="29">
        <f t="shared" si="20"/>
        <v>0</v>
      </c>
      <c r="Q97" s="29">
        <f>IF(A97&lt;&gt;"",SUM(F$2:F97),Q96)</f>
        <v>8</v>
      </c>
      <c r="R97" s="30">
        <f t="shared" si="29"/>
        <v>0</v>
      </c>
    </row>
    <row r="98" spans="1:18" x14ac:dyDescent="0.25">
      <c r="A98" s="27" t="str">
        <f>IF('Data Sheet'!A98="","",'Data Sheet'!A98)</f>
        <v/>
      </c>
      <c r="B98" s="28" t="str">
        <f>IF('Data Sheet'!B98="","",'Data Sheet'!B98)</f>
        <v/>
      </c>
      <c r="C98" s="28" t="str">
        <f>IF('Data Sheet'!C98="","",'Data Sheet'!C98)</f>
        <v/>
      </c>
      <c r="D98" s="28" t="str">
        <f>IF('Data Sheet'!D98="","",'Data Sheet'!D98)</f>
        <v/>
      </c>
      <c r="E98" s="29" t="str">
        <f t="shared" si="21"/>
        <v>C</v>
      </c>
      <c r="F98" s="51">
        <v>0</v>
      </c>
      <c r="G98" s="49">
        <f t="shared" si="22"/>
        <v>0</v>
      </c>
      <c r="H98" s="49">
        <f t="shared" si="23"/>
        <v>0</v>
      </c>
      <c r="I98" s="49">
        <f t="shared" si="24"/>
        <v>0</v>
      </c>
      <c r="J98" s="49">
        <f t="shared" si="25"/>
        <v>0</v>
      </c>
      <c r="K98" s="49">
        <f t="shared" si="26"/>
        <v>0</v>
      </c>
      <c r="L98" s="49">
        <f t="shared" si="27"/>
        <v>0</v>
      </c>
      <c r="M98" s="49">
        <f t="shared" si="28"/>
        <v>0</v>
      </c>
      <c r="N98" s="29" t="str">
        <f t="shared" si="18"/>
        <v/>
      </c>
      <c r="O98" s="29">
        <f t="shared" si="19"/>
        <v>0</v>
      </c>
      <c r="P98" s="29">
        <f t="shared" si="20"/>
        <v>0</v>
      </c>
      <c r="Q98" s="29">
        <f>IF(A98&lt;&gt;"",SUM(F$2:F98),Q97)</f>
        <v>8</v>
      </c>
      <c r="R98" s="30">
        <f t="shared" si="29"/>
        <v>0</v>
      </c>
    </row>
    <row r="99" spans="1:18" x14ac:dyDescent="0.25">
      <c r="A99" s="27" t="str">
        <f>IF('Data Sheet'!A99="","",'Data Sheet'!A99)</f>
        <v/>
      </c>
      <c r="B99" s="28" t="str">
        <f>IF('Data Sheet'!B99="","",'Data Sheet'!B99)</f>
        <v/>
      </c>
      <c r="C99" s="28" t="str">
        <f>IF('Data Sheet'!C99="","",'Data Sheet'!C99)</f>
        <v/>
      </c>
      <c r="D99" s="28" t="str">
        <f>IF('Data Sheet'!D99="","",'Data Sheet'!D99)</f>
        <v/>
      </c>
      <c r="E99" s="29" t="str">
        <f t="shared" si="21"/>
        <v>C</v>
      </c>
      <c r="F99" s="51">
        <v>0</v>
      </c>
      <c r="G99" s="49">
        <f t="shared" si="22"/>
        <v>0</v>
      </c>
      <c r="H99" s="49">
        <f t="shared" si="23"/>
        <v>0</v>
      </c>
      <c r="I99" s="49">
        <f t="shared" si="24"/>
        <v>0</v>
      </c>
      <c r="J99" s="49">
        <f t="shared" si="25"/>
        <v>0</v>
      </c>
      <c r="K99" s="49">
        <f t="shared" si="26"/>
        <v>0</v>
      </c>
      <c r="L99" s="49">
        <f t="shared" si="27"/>
        <v>0</v>
      </c>
      <c r="M99" s="49">
        <f t="shared" si="28"/>
        <v>0</v>
      </c>
      <c r="N99" s="29" t="str">
        <f t="shared" si="18"/>
        <v/>
      </c>
      <c r="O99" s="29">
        <f t="shared" si="19"/>
        <v>0</v>
      </c>
      <c r="P99" s="29">
        <f t="shared" si="20"/>
        <v>0</v>
      </c>
      <c r="Q99" s="29">
        <f>IF(A99&lt;&gt;"",SUM(F$2:F99),Q98)</f>
        <v>8</v>
      </c>
      <c r="R99" s="30">
        <f t="shared" si="29"/>
        <v>0</v>
      </c>
    </row>
    <row r="100" spans="1:18" x14ac:dyDescent="0.25">
      <c r="A100" s="27" t="str">
        <f>IF('Data Sheet'!A100="","",'Data Sheet'!A100)</f>
        <v/>
      </c>
      <c r="B100" s="28" t="str">
        <f>IF('Data Sheet'!B100="","",'Data Sheet'!B100)</f>
        <v/>
      </c>
      <c r="C100" s="28" t="str">
        <f>IF('Data Sheet'!C100="","",'Data Sheet'!C100)</f>
        <v/>
      </c>
      <c r="D100" s="28" t="str">
        <f>IF('Data Sheet'!D100="","",'Data Sheet'!D100)</f>
        <v/>
      </c>
      <c r="E100" s="29" t="str">
        <f t="shared" si="21"/>
        <v>C</v>
      </c>
      <c r="F100" s="51">
        <v>0</v>
      </c>
      <c r="G100" s="49">
        <f t="shared" si="22"/>
        <v>0</v>
      </c>
      <c r="H100" s="49">
        <f t="shared" si="23"/>
        <v>0</v>
      </c>
      <c r="I100" s="49">
        <f t="shared" si="24"/>
        <v>0</v>
      </c>
      <c r="J100" s="49">
        <f t="shared" si="25"/>
        <v>0</v>
      </c>
      <c r="K100" s="49">
        <f t="shared" si="26"/>
        <v>0</v>
      </c>
      <c r="L100" s="49">
        <f t="shared" si="27"/>
        <v>0</v>
      </c>
      <c r="M100" s="49">
        <f t="shared" si="28"/>
        <v>0</v>
      </c>
      <c r="N100" s="29" t="str">
        <f t="shared" si="18"/>
        <v/>
      </c>
      <c r="O100" s="29">
        <f t="shared" si="19"/>
        <v>0</v>
      </c>
      <c r="P100" s="29">
        <f t="shared" si="20"/>
        <v>0</v>
      </c>
      <c r="Q100" s="29">
        <f>IF(A100&lt;&gt;"",SUM(F$2:F100),Q99)</f>
        <v>8</v>
      </c>
      <c r="R100" s="30">
        <f t="shared" si="29"/>
        <v>0</v>
      </c>
    </row>
    <row r="101" spans="1:18" x14ac:dyDescent="0.25">
      <c r="A101" s="27" t="str">
        <f>IF('Data Sheet'!A101="","",'Data Sheet'!A101)</f>
        <v/>
      </c>
      <c r="B101" s="28" t="str">
        <f>IF('Data Sheet'!B101="","",'Data Sheet'!B101)</f>
        <v/>
      </c>
      <c r="C101" s="28" t="str">
        <f>IF('Data Sheet'!C101="","",'Data Sheet'!C101)</f>
        <v/>
      </c>
      <c r="D101" s="28" t="str">
        <f>IF('Data Sheet'!D101="","",'Data Sheet'!D101)</f>
        <v/>
      </c>
      <c r="E101" s="29" t="str">
        <f t="shared" si="21"/>
        <v>C</v>
      </c>
      <c r="F101" s="51">
        <v>0</v>
      </c>
      <c r="G101" s="49">
        <f t="shared" si="22"/>
        <v>0</v>
      </c>
      <c r="H101" s="49">
        <f t="shared" si="23"/>
        <v>0</v>
      </c>
      <c r="I101" s="49">
        <f t="shared" si="24"/>
        <v>0</v>
      </c>
      <c r="J101" s="49">
        <f t="shared" si="25"/>
        <v>0</v>
      </c>
      <c r="K101" s="49">
        <f t="shared" si="26"/>
        <v>0</v>
      </c>
      <c r="L101" s="49">
        <f t="shared" si="27"/>
        <v>0</v>
      </c>
      <c r="M101" s="49">
        <f t="shared" si="28"/>
        <v>0</v>
      </c>
      <c r="N101" s="29" t="str">
        <f t="shared" si="18"/>
        <v/>
      </c>
      <c r="O101" s="29">
        <f t="shared" si="19"/>
        <v>0</v>
      </c>
      <c r="P101" s="29">
        <f t="shared" si="20"/>
        <v>0</v>
      </c>
      <c r="Q101" s="29">
        <f>IF(A101&lt;&gt;"",SUM(F$2:F101),Q100)</f>
        <v>8</v>
      </c>
      <c r="R101" s="30">
        <f t="shared" si="29"/>
        <v>0</v>
      </c>
    </row>
    <row r="102" spans="1:18" x14ac:dyDescent="0.25">
      <c r="A102" s="27" t="str">
        <f>IF('Data Sheet'!A102="","",'Data Sheet'!A102)</f>
        <v/>
      </c>
      <c r="B102" s="28" t="str">
        <f>IF('Data Sheet'!B102="","",'Data Sheet'!B102)</f>
        <v/>
      </c>
      <c r="C102" s="28" t="str">
        <f>IF('Data Sheet'!C102="","",'Data Sheet'!C102)</f>
        <v/>
      </c>
      <c r="D102" s="28" t="str">
        <f>IF('Data Sheet'!D102="","",'Data Sheet'!D102)</f>
        <v/>
      </c>
      <c r="E102" s="29" t="str">
        <f t="shared" si="21"/>
        <v>C</v>
      </c>
      <c r="F102" s="51">
        <v>0</v>
      </c>
      <c r="G102" s="49">
        <f t="shared" si="22"/>
        <v>0</v>
      </c>
      <c r="H102" s="49">
        <f t="shared" si="23"/>
        <v>0</v>
      </c>
      <c r="I102" s="49">
        <f t="shared" si="24"/>
        <v>0</v>
      </c>
      <c r="J102" s="49">
        <f t="shared" si="25"/>
        <v>0</v>
      </c>
      <c r="K102" s="49">
        <f t="shared" si="26"/>
        <v>0</v>
      </c>
      <c r="L102" s="49">
        <f t="shared" si="27"/>
        <v>0</v>
      </c>
      <c r="M102" s="49">
        <f t="shared" si="28"/>
        <v>0</v>
      </c>
      <c r="N102" s="29" t="str">
        <f t="shared" si="18"/>
        <v/>
      </c>
      <c r="O102" s="29">
        <f t="shared" si="19"/>
        <v>0</v>
      </c>
      <c r="P102" s="29">
        <f t="shared" si="20"/>
        <v>0</v>
      </c>
      <c r="Q102" s="29">
        <f>IF(A102&lt;&gt;"",SUM(F$2:F102),Q101)</f>
        <v>8</v>
      </c>
      <c r="R102" s="30">
        <f t="shared" si="29"/>
        <v>0</v>
      </c>
    </row>
    <row r="103" spans="1:18" x14ac:dyDescent="0.25">
      <c r="A103" s="27" t="str">
        <f>IF('Data Sheet'!A103="","",'Data Sheet'!A103)</f>
        <v/>
      </c>
      <c r="B103" s="28" t="str">
        <f>IF('Data Sheet'!B103="","",'Data Sheet'!B103)</f>
        <v/>
      </c>
      <c r="C103" s="28" t="str">
        <f>IF('Data Sheet'!C103="","",'Data Sheet'!C103)</f>
        <v/>
      </c>
      <c r="D103" s="28" t="str">
        <f>IF('Data Sheet'!D103="","",'Data Sheet'!D103)</f>
        <v/>
      </c>
      <c r="E103" s="29" t="str">
        <f t="shared" si="21"/>
        <v>C</v>
      </c>
      <c r="F103" s="51">
        <v>0</v>
      </c>
      <c r="G103" s="49">
        <f t="shared" si="22"/>
        <v>0</v>
      </c>
      <c r="H103" s="49">
        <f t="shared" si="23"/>
        <v>0</v>
      </c>
      <c r="I103" s="49">
        <f t="shared" si="24"/>
        <v>0</v>
      </c>
      <c r="J103" s="49">
        <f t="shared" si="25"/>
        <v>0</v>
      </c>
      <c r="K103" s="49">
        <f t="shared" si="26"/>
        <v>0</v>
      </c>
      <c r="L103" s="49">
        <f t="shared" si="27"/>
        <v>0</v>
      </c>
      <c r="M103" s="49">
        <f t="shared" si="28"/>
        <v>0</v>
      </c>
      <c r="N103" s="29" t="str">
        <f t="shared" si="18"/>
        <v/>
      </c>
      <c r="O103" s="29">
        <f t="shared" si="19"/>
        <v>0</v>
      </c>
      <c r="P103" s="29">
        <f t="shared" si="20"/>
        <v>0</v>
      </c>
      <c r="Q103" s="29">
        <f>IF(A103&lt;&gt;"",SUM(F$2:F103),Q102)</f>
        <v>8</v>
      </c>
      <c r="R103" s="30">
        <f t="shared" si="29"/>
        <v>0</v>
      </c>
    </row>
    <row r="104" spans="1:18" x14ac:dyDescent="0.25">
      <c r="A104" s="27" t="str">
        <f>IF('Data Sheet'!A104="","",'Data Sheet'!A104)</f>
        <v/>
      </c>
      <c r="B104" s="28" t="str">
        <f>IF('Data Sheet'!B104="","",'Data Sheet'!B104)</f>
        <v/>
      </c>
      <c r="C104" s="28" t="str">
        <f>IF('Data Sheet'!C104="","",'Data Sheet'!C104)</f>
        <v/>
      </c>
      <c r="D104" s="28" t="str">
        <f>IF('Data Sheet'!D104="","",'Data Sheet'!D104)</f>
        <v/>
      </c>
      <c r="E104" s="29" t="str">
        <f t="shared" si="21"/>
        <v>C</v>
      </c>
      <c r="F104" s="51">
        <v>0</v>
      </c>
      <c r="G104" s="49">
        <f t="shared" si="22"/>
        <v>0</v>
      </c>
      <c r="H104" s="49">
        <f t="shared" si="23"/>
        <v>0</v>
      </c>
      <c r="I104" s="49">
        <f t="shared" si="24"/>
        <v>0</v>
      </c>
      <c r="J104" s="49">
        <f t="shared" si="25"/>
        <v>0</v>
      </c>
      <c r="K104" s="49">
        <f t="shared" si="26"/>
        <v>0</v>
      </c>
      <c r="L104" s="49">
        <f t="shared" si="27"/>
        <v>0</v>
      </c>
      <c r="M104" s="49">
        <f t="shared" si="28"/>
        <v>0</v>
      </c>
      <c r="N104" s="29" t="str">
        <f t="shared" si="18"/>
        <v/>
      </c>
      <c r="O104" s="29">
        <f t="shared" si="19"/>
        <v>0</v>
      </c>
      <c r="P104" s="29">
        <f t="shared" si="20"/>
        <v>0</v>
      </c>
      <c r="Q104" s="29">
        <f>IF(A104&lt;&gt;"",SUM(F$2:F104),Q103)</f>
        <v>8</v>
      </c>
      <c r="R104" s="30">
        <f t="shared" si="29"/>
        <v>0</v>
      </c>
    </row>
    <row r="105" spans="1:18" x14ac:dyDescent="0.25">
      <c r="A105" s="27" t="str">
        <f>IF('Data Sheet'!A105="","",'Data Sheet'!A105)</f>
        <v/>
      </c>
      <c r="B105" s="28" t="str">
        <f>IF('Data Sheet'!B105="","",'Data Sheet'!B105)</f>
        <v/>
      </c>
      <c r="C105" s="28" t="str">
        <f>IF('Data Sheet'!C105="","",'Data Sheet'!C105)</f>
        <v/>
      </c>
      <c r="D105" s="28" t="str">
        <f>IF('Data Sheet'!D105="","",'Data Sheet'!D105)</f>
        <v/>
      </c>
      <c r="E105" s="29" t="str">
        <f t="shared" si="21"/>
        <v>C</v>
      </c>
      <c r="F105" s="51">
        <v>0</v>
      </c>
      <c r="G105" s="49">
        <f t="shared" si="22"/>
        <v>0</v>
      </c>
      <c r="H105" s="49">
        <f t="shared" si="23"/>
        <v>0</v>
      </c>
      <c r="I105" s="49">
        <f t="shared" si="24"/>
        <v>0</v>
      </c>
      <c r="J105" s="49">
        <f t="shared" si="25"/>
        <v>0</v>
      </c>
      <c r="K105" s="49">
        <f t="shared" si="26"/>
        <v>0</v>
      </c>
      <c r="L105" s="49">
        <f t="shared" si="27"/>
        <v>0</v>
      </c>
      <c r="M105" s="49">
        <f t="shared" si="28"/>
        <v>0</v>
      </c>
      <c r="N105" s="29" t="str">
        <f t="shared" si="18"/>
        <v/>
      </c>
      <c r="O105" s="29">
        <f t="shared" si="19"/>
        <v>0</v>
      </c>
      <c r="P105" s="29">
        <f t="shared" si="20"/>
        <v>0</v>
      </c>
      <c r="Q105" s="29">
        <f>IF(A105&lt;&gt;"",SUM(F$2:F105),Q104)</f>
        <v>8</v>
      </c>
      <c r="R105" s="30">
        <f t="shared" si="29"/>
        <v>0</v>
      </c>
    </row>
    <row r="106" spans="1:18" x14ac:dyDescent="0.25">
      <c r="A106" s="27" t="str">
        <f>IF('Data Sheet'!A106="","",'Data Sheet'!A106)</f>
        <v/>
      </c>
      <c r="B106" s="28" t="str">
        <f>IF('Data Sheet'!B106="","",'Data Sheet'!B106)</f>
        <v/>
      </c>
      <c r="C106" s="28" t="str">
        <f>IF('Data Sheet'!C106="","",'Data Sheet'!C106)</f>
        <v/>
      </c>
      <c r="D106" s="28" t="str">
        <f>IF('Data Sheet'!D106="","",'Data Sheet'!D106)</f>
        <v/>
      </c>
      <c r="E106" s="29" t="str">
        <f t="shared" si="21"/>
        <v>C</v>
      </c>
      <c r="F106" s="51">
        <v>0</v>
      </c>
      <c r="G106" s="49">
        <f t="shared" si="22"/>
        <v>0</v>
      </c>
      <c r="H106" s="49">
        <f t="shared" si="23"/>
        <v>0</v>
      </c>
      <c r="I106" s="49">
        <f t="shared" si="24"/>
        <v>0</v>
      </c>
      <c r="J106" s="49">
        <f t="shared" si="25"/>
        <v>0</v>
      </c>
      <c r="K106" s="49">
        <f t="shared" si="26"/>
        <v>0</v>
      </c>
      <c r="L106" s="49">
        <f t="shared" si="27"/>
        <v>0</v>
      </c>
      <c r="M106" s="49">
        <f t="shared" si="28"/>
        <v>0</v>
      </c>
      <c r="N106" s="29" t="str">
        <f t="shared" si="18"/>
        <v/>
      </c>
      <c r="O106" s="29">
        <f t="shared" si="19"/>
        <v>0</v>
      </c>
      <c r="P106" s="29">
        <f t="shared" si="20"/>
        <v>0</v>
      </c>
      <c r="Q106" s="29">
        <f>IF(A106&lt;&gt;"",SUM(F$2:F106),Q105)</f>
        <v>8</v>
      </c>
      <c r="R106" s="30">
        <f t="shared" si="29"/>
        <v>0</v>
      </c>
    </row>
    <row r="107" spans="1:18" x14ac:dyDescent="0.25">
      <c r="A107" s="27" t="str">
        <f>IF('Data Sheet'!A107="","",'Data Sheet'!A107)</f>
        <v/>
      </c>
      <c r="B107" s="28" t="str">
        <f>IF('Data Sheet'!B107="","",'Data Sheet'!B107)</f>
        <v/>
      </c>
      <c r="C107" s="28" t="str">
        <f>IF('Data Sheet'!C107="","",'Data Sheet'!C107)</f>
        <v/>
      </c>
      <c r="D107" s="28" t="str">
        <f>IF('Data Sheet'!D107="","",'Data Sheet'!D107)</f>
        <v/>
      </c>
      <c r="E107" s="29" t="str">
        <f t="shared" si="21"/>
        <v>C</v>
      </c>
      <c r="F107" s="51">
        <v>0</v>
      </c>
      <c r="G107" s="49">
        <f t="shared" si="22"/>
        <v>0</v>
      </c>
      <c r="H107" s="49">
        <f t="shared" si="23"/>
        <v>0</v>
      </c>
      <c r="I107" s="49">
        <f t="shared" si="24"/>
        <v>0</v>
      </c>
      <c r="J107" s="49">
        <f t="shared" si="25"/>
        <v>0</v>
      </c>
      <c r="K107" s="49">
        <f t="shared" si="26"/>
        <v>0</v>
      </c>
      <c r="L107" s="49">
        <f t="shared" si="27"/>
        <v>0</v>
      </c>
      <c r="M107" s="49">
        <f t="shared" si="28"/>
        <v>0</v>
      </c>
      <c r="N107" s="29" t="str">
        <f t="shared" si="18"/>
        <v/>
      </c>
      <c r="O107" s="29">
        <f t="shared" si="19"/>
        <v>0</v>
      </c>
      <c r="P107" s="29">
        <f t="shared" si="20"/>
        <v>0</v>
      </c>
      <c r="Q107" s="29">
        <f>IF(A107&lt;&gt;"",SUM(F$2:F107),Q106)</f>
        <v>8</v>
      </c>
      <c r="R107" s="30">
        <f t="shared" si="29"/>
        <v>0</v>
      </c>
    </row>
    <row r="108" spans="1:18" x14ac:dyDescent="0.25">
      <c r="A108" s="27" t="str">
        <f>IF('Data Sheet'!A108="","",'Data Sheet'!A108)</f>
        <v/>
      </c>
      <c r="B108" s="28" t="str">
        <f>IF('Data Sheet'!B108="","",'Data Sheet'!B108)</f>
        <v/>
      </c>
      <c r="C108" s="28" t="str">
        <f>IF('Data Sheet'!C108="","",'Data Sheet'!C108)</f>
        <v/>
      </c>
      <c r="D108" s="28" t="str">
        <f>IF('Data Sheet'!D108="","",'Data Sheet'!D108)</f>
        <v/>
      </c>
      <c r="E108" s="29" t="str">
        <f t="shared" si="21"/>
        <v>C</v>
      </c>
      <c r="F108" s="51">
        <v>0</v>
      </c>
      <c r="G108" s="49">
        <f t="shared" si="22"/>
        <v>0</v>
      </c>
      <c r="H108" s="49">
        <f t="shared" si="23"/>
        <v>0</v>
      </c>
      <c r="I108" s="49">
        <f t="shared" si="24"/>
        <v>0</v>
      </c>
      <c r="J108" s="49">
        <f t="shared" si="25"/>
        <v>0</v>
      </c>
      <c r="K108" s="49">
        <f t="shared" si="26"/>
        <v>0</v>
      </c>
      <c r="L108" s="49">
        <f t="shared" si="27"/>
        <v>0</v>
      </c>
      <c r="M108" s="49">
        <f t="shared" si="28"/>
        <v>0</v>
      </c>
      <c r="N108" s="29" t="str">
        <f t="shared" si="18"/>
        <v/>
      </c>
      <c r="O108" s="29">
        <f t="shared" si="19"/>
        <v>0</v>
      </c>
      <c r="P108" s="29">
        <f t="shared" si="20"/>
        <v>0</v>
      </c>
      <c r="Q108" s="29">
        <f>IF(A108&lt;&gt;"",SUM(F$2:F108),Q107)</f>
        <v>8</v>
      </c>
      <c r="R108" s="30">
        <f t="shared" si="29"/>
        <v>0</v>
      </c>
    </row>
    <row r="109" spans="1:18" x14ac:dyDescent="0.25">
      <c r="A109" s="27" t="str">
        <f>IF('Data Sheet'!A109="","",'Data Sheet'!A109)</f>
        <v/>
      </c>
      <c r="B109" s="28" t="str">
        <f>IF('Data Sheet'!B109="","",'Data Sheet'!B109)</f>
        <v/>
      </c>
      <c r="C109" s="28" t="str">
        <f>IF('Data Sheet'!C109="","",'Data Sheet'!C109)</f>
        <v/>
      </c>
      <c r="D109" s="28" t="str">
        <f>IF('Data Sheet'!D109="","",'Data Sheet'!D109)</f>
        <v/>
      </c>
      <c r="E109" s="29" t="str">
        <f t="shared" si="21"/>
        <v>C</v>
      </c>
      <c r="F109" s="51">
        <v>0</v>
      </c>
      <c r="G109" s="49">
        <f t="shared" si="22"/>
        <v>0</v>
      </c>
      <c r="H109" s="49">
        <f t="shared" si="23"/>
        <v>0</v>
      </c>
      <c r="I109" s="49">
        <f t="shared" si="24"/>
        <v>0</v>
      </c>
      <c r="J109" s="49">
        <f t="shared" si="25"/>
        <v>0</v>
      </c>
      <c r="K109" s="49">
        <f t="shared" si="26"/>
        <v>0</v>
      </c>
      <c r="L109" s="49">
        <f t="shared" si="27"/>
        <v>0</v>
      </c>
      <c r="M109" s="49">
        <f t="shared" si="28"/>
        <v>0</v>
      </c>
      <c r="N109" s="29" t="str">
        <f t="shared" si="18"/>
        <v/>
      </c>
      <c r="O109" s="29">
        <f t="shared" si="19"/>
        <v>0</v>
      </c>
      <c r="P109" s="29">
        <f t="shared" si="20"/>
        <v>0</v>
      </c>
      <c r="Q109" s="29">
        <f>IF(A109&lt;&gt;"",SUM(F$2:F109),Q108)</f>
        <v>8</v>
      </c>
      <c r="R109" s="30">
        <f t="shared" si="29"/>
        <v>0</v>
      </c>
    </row>
    <row r="110" spans="1:18" x14ac:dyDescent="0.25">
      <c r="A110" s="27" t="str">
        <f>IF('Data Sheet'!A110="","",'Data Sheet'!A110)</f>
        <v/>
      </c>
      <c r="B110" s="28" t="str">
        <f>IF('Data Sheet'!B110="","",'Data Sheet'!B110)</f>
        <v/>
      </c>
      <c r="C110" s="28" t="str">
        <f>IF('Data Sheet'!C110="","",'Data Sheet'!C110)</f>
        <v/>
      </c>
      <c r="D110" s="28" t="str">
        <f>IF('Data Sheet'!D110="","",'Data Sheet'!D110)</f>
        <v/>
      </c>
      <c r="E110" s="29" t="str">
        <f t="shared" si="21"/>
        <v>C</v>
      </c>
      <c r="F110" s="51">
        <v>0</v>
      </c>
      <c r="G110" s="49">
        <f t="shared" si="22"/>
        <v>0</v>
      </c>
      <c r="H110" s="49">
        <f t="shared" si="23"/>
        <v>0</v>
      </c>
      <c r="I110" s="49">
        <f t="shared" si="24"/>
        <v>0</v>
      </c>
      <c r="J110" s="49">
        <f t="shared" si="25"/>
        <v>0</v>
      </c>
      <c r="K110" s="49">
        <f t="shared" si="26"/>
        <v>0</v>
      </c>
      <c r="L110" s="49">
        <f t="shared" si="27"/>
        <v>0</v>
      </c>
      <c r="M110" s="49">
        <f t="shared" si="28"/>
        <v>0</v>
      </c>
      <c r="N110" s="29" t="str">
        <f t="shared" si="18"/>
        <v/>
      </c>
      <c r="O110" s="29">
        <f t="shared" si="19"/>
        <v>0</v>
      </c>
      <c r="P110" s="29">
        <f t="shared" si="20"/>
        <v>0</v>
      </c>
      <c r="Q110" s="29">
        <f>IF(A110&lt;&gt;"",SUM(F$2:F110),Q109)</f>
        <v>8</v>
      </c>
      <c r="R110" s="30">
        <f t="shared" si="29"/>
        <v>0</v>
      </c>
    </row>
    <row r="111" spans="1:18" x14ac:dyDescent="0.25">
      <c r="A111" s="27" t="str">
        <f>IF('Data Sheet'!A111="","",'Data Sheet'!A111)</f>
        <v/>
      </c>
      <c r="B111" s="28" t="str">
        <f>IF('Data Sheet'!B111="","",'Data Sheet'!B111)</f>
        <v/>
      </c>
      <c r="C111" s="28" t="str">
        <f>IF('Data Sheet'!C111="","",'Data Sheet'!C111)</f>
        <v/>
      </c>
      <c r="D111" s="28" t="str">
        <f>IF('Data Sheet'!D111="","",'Data Sheet'!D111)</f>
        <v/>
      </c>
      <c r="E111" s="29" t="str">
        <f t="shared" si="21"/>
        <v>C</v>
      </c>
      <c r="F111" s="51">
        <v>0</v>
      </c>
      <c r="G111" s="49">
        <f t="shared" si="22"/>
        <v>0</v>
      </c>
      <c r="H111" s="49">
        <f t="shared" si="23"/>
        <v>0</v>
      </c>
      <c r="I111" s="49">
        <f t="shared" si="24"/>
        <v>0</v>
      </c>
      <c r="J111" s="49">
        <f t="shared" si="25"/>
        <v>0</v>
      </c>
      <c r="K111" s="49">
        <f t="shared" si="26"/>
        <v>0</v>
      </c>
      <c r="L111" s="49">
        <f t="shared" si="27"/>
        <v>0</v>
      </c>
      <c r="M111" s="49">
        <f t="shared" si="28"/>
        <v>0</v>
      </c>
      <c r="N111" s="29" t="str">
        <f t="shared" si="18"/>
        <v/>
      </c>
      <c r="O111" s="29">
        <f t="shared" si="19"/>
        <v>0</v>
      </c>
      <c r="P111" s="29">
        <f t="shared" si="20"/>
        <v>0</v>
      </c>
      <c r="Q111" s="29">
        <f>IF(A111&lt;&gt;"",SUM(F$2:F111),Q110)</f>
        <v>8</v>
      </c>
      <c r="R111" s="30">
        <f t="shared" si="29"/>
        <v>0</v>
      </c>
    </row>
    <row r="112" spans="1:18" x14ac:dyDescent="0.25">
      <c r="A112" s="27" t="str">
        <f>IF('Data Sheet'!A112="","",'Data Sheet'!A112)</f>
        <v/>
      </c>
      <c r="B112" s="28" t="str">
        <f>IF('Data Sheet'!B112="","",'Data Sheet'!B112)</f>
        <v/>
      </c>
      <c r="C112" s="28" t="str">
        <f>IF('Data Sheet'!C112="","",'Data Sheet'!C112)</f>
        <v/>
      </c>
      <c r="D112" s="28" t="str">
        <f>IF('Data Sheet'!D112="","",'Data Sheet'!D112)</f>
        <v/>
      </c>
      <c r="E112" s="29" t="str">
        <f t="shared" si="21"/>
        <v>C</v>
      </c>
      <c r="F112" s="51">
        <v>0</v>
      </c>
      <c r="G112" s="49">
        <f t="shared" si="22"/>
        <v>0</v>
      </c>
      <c r="H112" s="49">
        <f t="shared" si="23"/>
        <v>0</v>
      </c>
      <c r="I112" s="49">
        <f t="shared" si="24"/>
        <v>0</v>
      </c>
      <c r="J112" s="49">
        <f t="shared" si="25"/>
        <v>0</v>
      </c>
      <c r="K112" s="49">
        <f t="shared" si="26"/>
        <v>0</v>
      </c>
      <c r="L112" s="49">
        <f t="shared" si="27"/>
        <v>0</v>
      </c>
      <c r="M112" s="49">
        <f t="shared" si="28"/>
        <v>0</v>
      </c>
      <c r="N112" s="29" t="str">
        <f t="shared" si="18"/>
        <v/>
      </c>
      <c r="O112" s="29">
        <f t="shared" si="19"/>
        <v>0</v>
      </c>
      <c r="P112" s="29">
        <f t="shared" si="20"/>
        <v>0</v>
      </c>
      <c r="Q112" s="29">
        <f>IF(A112&lt;&gt;"",SUM(F$2:F112),Q111)</f>
        <v>8</v>
      </c>
      <c r="R112" s="30">
        <f t="shared" si="29"/>
        <v>0</v>
      </c>
    </row>
    <row r="113" spans="1:18" x14ac:dyDescent="0.25">
      <c r="A113" s="27" t="str">
        <f>IF('Data Sheet'!A113="","",'Data Sheet'!A113)</f>
        <v/>
      </c>
      <c r="B113" s="28" t="str">
        <f>IF('Data Sheet'!B113="","",'Data Sheet'!B113)</f>
        <v/>
      </c>
      <c r="C113" s="28" t="str">
        <f>IF('Data Sheet'!C113="","",'Data Sheet'!C113)</f>
        <v/>
      </c>
      <c r="D113" s="28" t="str">
        <f>IF('Data Sheet'!D113="","",'Data Sheet'!D113)</f>
        <v/>
      </c>
      <c r="E113" s="29" t="str">
        <f t="shared" si="21"/>
        <v>C</v>
      </c>
      <c r="F113" s="51">
        <v>0</v>
      </c>
      <c r="G113" s="49">
        <f t="shared" si="22"/>
        <v>0</v>
      </c>
      <c r="H113" s="49">
        <f t="shared" si="23"/>
        <v>0</v>
      </c>
      <c r="I113" s="49">
        <f t="shared" si="24"/>
        <v>0</v>
      </c>
      <c r="J113" s="49">
        <f t="shared" si="25"/>
        <v>0</v>
      </c>
      <c r="K113" s="49">
        <f t="shared" si="26"/>
        <v>0</v>
      </c>
      <c r="L113" s="49">
        <f t="shared" si="27"/>
        <v>0</v>
      </c>
      <c r="M113" s="49">
        <f t="shared" si="28"/>
        <v>0</v>
      </c>
      <c r="N113" s="29" t="str">
        <f t="shared" si="18"/>
        <v/>
      </c>
      <c r="O113" s="29">
        <f t="shared" si="19"/>
        <v>0</v>
      </c>
      <c r="P113" s="29">
        <f t="shared" si="20"/>
        <v>0</v>
      </c>
      <c r="Q113" s="29">
        <f>IF(A113&lt;&gt;"",SUM(F$2:F113),Q112)</f>
        <v>8</v>
      </c>
      <c r="R113" s="30">
        <f t="shared" si="29"/>
        <v>0</v>
      </c>
    </row>
    <row r="114" spans="1:18" x14ac:dyDescent="0.25">
      <c r="A114" s="27" t="str">
        <f>IF('Data Sheet'!A114="","",'Data Sheet'!A114)</f>
        <v/>
      </c>
      <c r="B114" s="28" t="str">
        <f>IF('Data Sheet'!B114="","",'Data Sheet'!B114)</f>
        <v/>
      </c>
      <c r="C114" s="28" t="str">
        <f>IF('Data Sheet'!C114="","",'Data Sheet'!C114)</f>
        <v/>
      </c>
      <c r="D114" s="28" t="str">
        <f>IF('Data Sheet'!D114="","",'Data Sheet'!D114)</f>
        <v/>
      </c>
      <c r="E114" s="29" t="str">
        <f t="shared" si="21"/>
        <v>C</v>
      </c>
      <c r="F114" s="51">
        <v>0</v>
      </c>
      <c r="G114" s="49">
        <f t="shared" si="22"/>
        <v>0</v>
      </c>
      <c r="H114" s="49">
        <f t="shared" si="23"/>
        <v>0</v>
      </c>
      <c r="I114" s="49">
        <f t="shared" si="24"/>
        <v>0</v>
      </c>
      <c r="J114" s="49">
        <f t="shared" si="25"/>
        <v>0</v>
      </c>
      <c r="K114" s="49">
        <f t="shared" si="26"/>
        <v>0</v>
      </c>
      <c r="L114" s="49">
        <f t="shared" si="27"/>
        <v>0</v>
      </c>
      <c r="M114" s="49">
        <f t="shared" si="28"/>
        <v>0</v>
      </c>
      <c r="N114" s="29" t="str">
        <f t="shared" si="18"/>
        <v/>
      </c>
      <c r="O114" s="29">
        <f t="shared" si="19"/>
        <v>0</v>
      </c>
      <c r="P114" s="29">
        <f t="shared" si="20"/>
        <v>0</v>
      </c>
      <c r="Q114" s="29">
        <f>IF(A114&lt;&gt;"",SUM(F$2:F114),Q113)</f>
        <v>8</v>
      </c>
      <c r="R114" s="30">
        <f t="shared" si="29"/>
        <v>0</v>
      </c>
    </row>
    <row r="115" spans="1:18" x14ac:dyDescent="0.25">
      <c r="A115" s="27" t="str">
        <f>IF('Data Sheet'!A115="","",'Data Sheet'!A115)</f>
        <v/>
      </c>
      <c r="B115" s="28" t="str">
        <f>IF('Data Sheet'!B115="","",'Data Sheet'!B115)</f>
        <v/>
      </c>
      <c r="C115" s="28" t="str">
        <f>IF('Data Sheet'!C115="","",'Data Sheet'!C115)</f>
        <v/>
      </c>
      <c r="D115" s="28" t="str">
        <f>IF('Data Sheet'!D115="","",'Data Sheet'!D115)</f>
        <v/>
      </c>
      <c r="E115" s="29" t="str">
        <f t="shared" si="21"/>
        <v>C</v>
      </c>
      <c r="F115" s="51">
        <v>0</v>
      </c>
      <c r="G115" s="49">
        <f t="shared" si="22"/>
        <v>0</v>
      </c>
      <c r="H115" s="49">
        <f t="shared" si="23"/>
        <v>0</v>
      </c>
      <c r="I115" s="49">
        <f t="shared" si="24"/>
        <v>0</v>
      </c>
      <c r="J115" s="49">
        <f t="shared" si="25"/>
        <v>0</v>
      </c>
      <c r="K115" s="49">
        <f t="shared" si="26"/>
        <v>0</v>
      </c>
      <c r="L115" s="49">
        <f t="shared" si="27"/>
        <v>0</v>
      </c>
      <c r="M115" s="49">
        <f t="shared" si="28"/>
        <v>0</v>
      </c>
      <c r="N115" s="29" t="str">
        <f t="shared" si="18"/>
        <v/>
      </c>
      <c r="O115" s="29">
        <f t="shared" si="19"/>
        <v>0</v>
      </c>
      <c r="P115" s="29">
        <f t="shared" si="20"/>
        <v>0</v>
      </c>
      <c r="Q115" s="29">
        <f>IF(A115&lt;&gt;"",SUM(F$2:F115),Q114)</f>
        <v>8</v>
      </c>
      <c r="R115" s="30">
        <f t="shared" si="29"/>
        <v>0</v>
      </c>
    </row>
    <row r="116" spans="1:18" x14ac:dyDescent="0.25">
      <c r="A116" s="27" t="str">
        <f>IF('Data Sheet'!A116="","",'Data Sheet'!A116)</f>
        <v/>
      </c>
      <c r="B116" s="28" t="str">
        <f>IF('Data Sheet'!B116="","",'Data Sheet'!B116)</f>
        <v/>
      </c>
      <c r="C116" s="28" t="str">
        <f>IF('Data Sheet'!C116="","",'Data Sheet'!C116)</f>
        <v/>
      </c>
      <c r="D116" s="28" t="str">
        <f>IF('Data Sheet'!D116="","",'Data Sheet'!D116)</f>
        <v/>
      </c>
      <c r="E116" s="29" t="str">
        <f t="shared" si="21"/>
        <v>C</v>
      </c>
      <c r="F116" s="51">
        <v>0</v>
      </c>
      <c r="G116" s="49">
        <f t="shared" si="22"/>
        <v>0</v>
      </c>
      <c r="H116" s="49">
        <f t="shared" si="23"/>
        <v>0</v>
      </c>
      <c r="I116" s="49">
        <f t="shared" si="24"/>
        <v>0</v>
      </c>
      <c r="J116" s="49">
        <f t="shared" si="25"/>
        <v>0</v>
      </c>
      <c r="K116" s="49">
        <f t="shared" si="26"/>
        <v>0</v>
      </c>
      <c r="L116" s="49">
        <f t="shared" si="27"/>
        <v>0</v>
      </c>
      <c r="M116" s="49">
        <f t="shared" si="28"/>
        <v>0</v>
      </c>
      <c r="N116" s="29" t="str">
        <f t="shared" si="18"/>
        <v/>
      </c>
      <c r="O116" s="29">
        <f t="shared" si="19"/>
        <v>0</v>
      </c>
      <c r="P116" s="29">
        <f t="shared" si="20"/>
        <v>0</v>
      </c>
      <c r="Q116" s="29">
        <f>IF(A116&lt;&gt;"",SUM(F$2:F116),Q115)</f>
        <v>8</v>
      </c>
      <c r="R116" s="30">
        <f t="shared" si="29"/>
        <v>0</v>
      </c>
    </row>
    <row r="117" spans="1:18" x14ac:dyDescent="0.25">
      <c r="A117" s="27" t="str">
        <f>IF('Data Sheet'!A117="","",'Data Sheet'!A117)</f>
        <v/>
      </c>
      <c r="B117" s="28" t="str">
        <f>IF('Data Sheet'!B117="","",'Data Sheet'!B117)</f>
        <v/>
      </c>
      <c r="C117" s="28" t="str">
        <f>IF('Data Sheet'!C117="","",'Data Sheet'!C117)</f>
        <v/>
      </c>
      <c r="D117" s="28" t="str">
        <f>IF('Data Sheet'!D117="","",'Data Sheet'!D117)</f>
        <v/>
      </c>
      <c r="E117" s="29" t="str">
        <f t="shared" si="21"/>
        <v>C</v>
      </c>
      <c r="F117" s="51">
        <v>0</v>
      </c>
      <c r="G117" s="49">
        <f t="shared" si="22"/>
        <v>0</v>
      </c>
      <c r="H117" s="49">
        <f t="shared" si="23"/>
        <v>0</v>
      </c>
      <c r="I117" s="49">
        <f t="shared" si="24"/>
        <v>0</v>
      </c>
      <c r="J117" s="49">
        <f t="shared" si="25"/>
        <v>0</v>
      </c>
      <c r="K117" s="49">
        <f t="shared" si="26"/>
        <v>0</v>
      </c>
      <c r="L117" s="49">
        <f t="shared" si="27"/>
        <v>0</v>
      </c>
      <c r="M117" s="49">
        <f t="shared" si="28"/>
        <v>0</v>
      </c>
      <c r="N117" s="29" t="str">
        <f t="shared" si="18"/>
        <v/>
      </c>
      <c r="O117" s="29">
        <f t="shared" si="19"/>
        <v>0</v>
      </c>
      <c r="P117" s="29">
        <f t="shared" si="20"/>
        <v>0</v>
      </c>
      <c r="Q117" s="29">
        <f>IF(A117&lt;&gt;"",SUM(F$2:F117),Q116)</f>
        <v>8</v>
      </c>
      <c r="R117" s="30">
        <f t="shared" si="29"/>
        <v>0</v>
      </c>
    </row>
    <row r="118" spans="1:18" x14ac:dyDescent="0.25">
      <c r="A118" s="27" t="str">
        <f>IF('Data Sheet'!A118="","",'Data Sheet'!A118)</f>
        <v/>
      </c>
      <c r="B118" s="28" t="str">
        <f>IF('Data Sheet'!B118="","",'Data Sheet'!B118)</f>
        <v/>
      </c>
      <c r="C118" s="28" t="str">
        <f>IF('Data Sheet'!C118="","",'Data Sheet'!C118)</f>
        <v/>
      </c>
      <c r="D118" s="28" t="str">
        <f>IF('Data Sheet'!D118="","",'Data Sheet'!D118)</f>
        <v/>
      </c>
      <c r="E118" s="29" t="str">
        <f t="shared" si="21"/>
        <v>C</v>
      </c>
      <c r="F118" s="51">
        <v>0</v>
      </c>
      <c r="G118" s="49">
        <f t="shared" si="22"/>
        <v>0</v>
      </c>
      <c r="H118" s="49">
        <f t="shared" si="23"/>
        <v>0</v>
      </c>
      <c r="I118" s="49">
        <f t="shared" si="24"/>
        <v>0</v>
      </c>
      <c r="J118" s="49">
        <f t="shared" si="25"/>
        <v>0</v>
      </c>
      <c r="K118" s="49">
        <f t="shared" si="26"/>
        <v>0</v>
      </c>
      <c r="L118" s="49">
        <f t="shared" si="27"/>
        <v>0</v>
      </c>
      <c r="M118" s="49">
        <f t="shared" si="28"/>
        <v>0</v>
      </c>
      <c r="N118" s="29" t="str">
        <f t="shared" si="18"/>
        <v/>
      </c>
      <c r="O118" s="29">
        <f t="shared" si="19"/>
        <v>0</v>
      </c>
      <c r="P118" s="29">
        <f t="shared" si="20"/>
        <v>0</v>
      </c>
      <c r="Q118" s="29">
        <f>IF(A118&lt;&gt;"",SUM(F$2:F118),Q117)</f>
        <v>8</v>
      </c>
      <c r="R118" s="30">
        <f t="shared" si="29"/>
        <v>0</v>
      </c>
    </row>
    <row r="119" spans="1:18" x14ac:dyDescent="0.25">
      <c r="A119" s="27" t="str">
        <f>IF('Data Sheet'!A119="","",'Data Sheet'!A119)</f>
        <v/>
      </c>
      <c r="B119" s="28" t="str">
        <f>IF('Data Sheet'!B119="","",'Data Sheet'!B119)</f>
        <v/>
      </c>
      <c r="C119" s="28" t="str">
        <f>IF('Data Sheet'!C119="","",'Data Sheet'!C119)</f>
        <v/>
      </c>
      <c r="D119" s="28" t="str">
        <f>IF('Data Sheet'!D119="","",'Data Sheet'!D119)</f>
        <v/>
      </c>
      <c r="E119" s="29" t="str">
        <f t="shared" si="21"/>
        <v>C</v>
      </c>
      <c r="F119" s="51">
        <v>0</v>
      </c>
      <c r="G119" s="49">
        <f t="shared" si="22"/>
        <v>0</v>
      </c>
      <c r="H119" s="49">
        <f t="shared" si="23"/>
        <v>0</v>
      </c>
      <c r="I119" s="49">
        <f t="shared" si="24"/>
        <v>0</v>
      </c>
      <c r="J119" s="49">
        <f t="shared" si="25"/>
        <v>0</v>
      </c>
      <c r="K119" s="49">
        <f t="shared" si="26"/>
        <v>0</v>
      </c>
      <c r="L119" s="49">
        <f t="shared" si="27"/>
        <v>0</v>
      </c>
      <c r="M119" s="49">
        <f t="shared" si="28"/>
        <v>0</v>
      </c>
      <c r="N119" s="29" t="str">
        <f t="shared" si="18"/>
        <v/>
      </c>
      <c r="O119" s="29">
        <f t="shared" si="19"/>
        <v>0</v>
      </c>
      <c r="P119" s="29">
        <f t="shared" si="20"/>
        <v>0</v>
      </c>
      <c r="Q119" s="29">
        <f>IF(A119&lt;&gt;"",SUM(F$2:F119),Q118)</f>
        <v>8</v>
      </c>
      <c r="R119" s="30">
        <f t="shared" si="29"/>
        <v>0</v>
      </c>
    </row>
    <row r="120" spans="1:18" x14ac:dyDescent="0.25">
      <c r="A120" s="27" t="str">
        <f>IF('Data Sheet'!A120="","",'Data Sheet'!A120)</f>
        <v/>
      </c>
      <c r="B120" s="28" t="str">
        <f>IF('Data Sheet'!B120="","",'Data Sheet'!B120)</f>
        <v/>
      </c>
      <c r="C120" s="28" t="str">
        <f>IF('Data Sheet'!C120="","",'Data Sheet'!C120)</f>
        <v/>
      </c>
      <c r="D120" s="28" t="str">
        <f>IF('Data Sheet'!D120="","",'Data Sheet'!D120)</f>
        <v/>
      </c>
      <c r="E120" s="29" t="str">
        <f t="shared" si="21"/>
        <v>C</v>
      </c>
      <c r="F120" s="51">
        <v>0</v>
      </c>
      <c r="G120" s="49">
        <f t="shared" si="22"/>
        <v>0</v>
      </c>
      <c r="H120" s="49">
        <f t="shared" si="23"/>
        <v>0</v>
      </c>
      <c r="I120" s="49">
        <f t="shared" si="24"/>
        <v>0</v>
      </c>
      <c r="J120" s="49">
        <f t="shared" si="25"/>
        <v>0</v>
      </c>
      <c r="K120" s="49">
        <f t="shared" si="26"/>
        <v>0</v>
      </c>
      <c r="L120" s="49">
        <f t="shared" si="27"/>
        <v>0</v>
      </c>
      <c r="M120" s="49">
        <f t="shared" si="28"/>
        <v>0</v>
      </c>
      <c r="N120" s="29" t="str">
        <f t="shared" si="18"/>
        <v/>
      </c>
      <c r="O120" s="29">
        <f t="shared" si="19"/>
        <v>0</v>
      </c>
      <c r="P120" s="29">
        <f t="shared" si="20"/>
        <v>0</v>
      </c>
      <c r="Q120" s="29">
        <f>IF(A120&lt;&gt;"",SUM(F$2:F120),Q119)</f>
        <v>8</v>
      </c>
      <c r="R120" s="30">
        <f t="shared" si="29"/>
        <v>0</v>
      </c>
    </row>
    <row r="121" spans="1:18" x14ac:dyDescent="0.25">
      <c r="A121" s="27" t="str">
        <f>IF('Data Sheet'!A121="","",'Data Sheet'!A121)</f>
        <v/>
      </c>
      <c r="B121" s="28" t="str">
        <f>IF('Data Sheet'!B121="","",'Data Sheet'!B121)</f>
        <v/>
      </c>
      <c r="C121" s="28" t="str">
        <f>IF('Data Sheet'!C121="","",'Data Sheet'!C121)</f>
        <v/>
      </c>
      <c r="D121" s="28" t="str">
        <f>IF('Data Sheet'!D121="","",'Data Sheet'!D121)</f>
        <v/>
      </c>
      <c r="E121" s="29" t="str">
        <f t="shared" si="21"/>
        <v>C</v>
      </c>
      <c r="F121" s="51">
        <v>0</v>
      </c>
      <c r="G121" s="49">
        <f t="shared" si="22"/>
        <v>0</v>
      </c>
      <c r="H121" s="49">
        <f t="shared" si="23"/>
        <v>0</v>
      </c>
      <c r="I121" s="49">
        <f t="shared" si="24"/>
        <v>0</v>
      </c>
      <c r="J121" s="49">
        <f t="shared" si="25"/>
        <v>0</v>
      </c>
      <c r="K121" s="49">
        <f t="shared" si="26"/>
        <v>0</v>
      </c>
      <c r="L121" s="49">
        <f t="shared" si="27"/>
        <v>0</v>
      </c>
      <c r="M121" s="49">
        <f t="shared" si="28"/>
        <v>0</v>
      </c>
      <c r="N121" s="29" t="str">
        <f t="shared" si="18"/>
        <v/>
      </c>
      <c r="O121" s="29">
        <f t="shared" si="19"/>
        <v>0</v>
      </c>
      <c r="P121" s="29">
        <f t="shared" si="20"/>
        <v>0</v>
      </c>
      <c r="Q121" s="29">
        <f>IF(A121&lt;&gt;"",SUM(F$2:F121),Q120)</f>
        <v>8</v>
      </c>
      <c r="R121" s="30">
        <f t="shared" si="29"/>
        <v>0</v>
      </c>
    </row>
    <row r="122" spans="1:18" x14ac:dyDescent="0.25">
      <c r="A122" s="27" t="str">
        <f>IF('Data Sheet'!A122="","",'Data Sheet'!A122)</f>
        <v/>
      </c>
      <c r="B122" s="28" t="str">
        <f>IF('Data Sheet'!B122="","",'Data Sheet'!B122)</f>
        <v/>
      </c>
      <c r="C122" s="28" t="str">
        <f>IF('Data Sheet'!C122="","",'Data Sheet'!C122)</f>
        <v/>
      </c>
      <c r="D122" s="28" t="str">
        <f>IF('Data Sheet'!D122="","",'Data Sheet'!D122)</f>
        <v/>
      </c>
      <c r="E122" s="29" t="str">
        <f t="shared" si="21"/>
        <v>C</v>
      </c>
      <c r="F122" s="51">
        <v>0</v>
      </c>
      <c r="G122" s="49">
        <f t="shared" si="22"/>
        <v>0</v>
      </c>
      <c r="H122" s="49">
        <f t="shared" si="23"/>
        <v>0</v>
      </c>
      <c r="I122" s="49">
        <f t="shared" si="24"/>
        <v>0</v>
      </c>
      <c r="J122" s="49">
        <f t="shared" si="25"/>
        <v>0</v>
      </c>
      <c r="K122" s="49">
        <f t="shared" si="26"/>
        <v>0</v>
      </c>
      <c r="L122" s="49">
        <f t="shared" si="27"/>
        <v>0</v>
      </c>
      <c r="M122" s="49">
        <f t="shared" si="28"/>
        <v>0</v>
      </c>
      <c r="N122" s="29" t="str">
        <f t="shared" si="18"/>
        <v/>
      </c>
      <c r="O122" s="29">
        <f t="shared" si="19"/>
        <v>0</v>
      </c>
      <c r="P122" s="29">
        <f t="shared" si="20"/>
        <v>0</v>
      </c>
      <c r="Q122" s="29">
        <f>IF(A122&lt;&gt;"",SUM(F$2:F122),Q121)</f>
        <v>8</v>
      </c>
      <c r="R122" s="30">
        <f t="shared" si="29"/>
        <v>0</v>
      </c>
    </row>
    <row r="123" spans="1:18" x14ac:dyDescent="0.25">
      <c r="A123" s="27" t="str">
        <f>IF('Data Sheet'!A123="","",'Data Sheet'!A123)</f>
        <v/>
      </c>
      <c r="B123" s="28" t="str">
        <f>IF('Data Sheet'!B123="","",'Data Sheet'!B123)</f>
        <v/>
      </c>
      <c r="C123" s="28" t="str">
        <f>IF('Data Sheet'!C123="","",'Data Sheet'!C123)</f>
        <v/>
      </c>
      <c r="D123" s="28" t="str">
        <f>IF('Data Sheet'!D123="","",'Data Sheet'!D123)</f>
        <v/>
      </c>
      <c r="E123" s="29" t="str">
        <f t="shared" si="21"/>
        <v>C</v>
      </c>
      <c r="F123" s="51">
        <v>0</v>
      </c>
      <c r="G123" s="49">
        <f t="shared" si="22"/>
        <v>0</v>
      </c>
      <c r="H123" s="49">
        <f t="shared" si="23"/>
        <v>0</v>
      </c>
      <c r="I123" s="49">
        <f t="shared" si="24"/>
        <v>0</v>
      </c>
      <c r="J123" s="49">
        <f t="shared" si="25"/>
        <v>0</v>
      </c>
      <c r="K123" s="49">
        <f t="shared" si="26"/>
        <v>0</v>
      </c>
      <c r="L123" s="49">
        <f t="shared" si="27"/>
        <v>0</v>
      </c>
      <c r="M123" s="49">
        <f t="shared" si="28"/>
        <v>0</v>
      </c>
      <c r="N123" s="29" t="str">
        <f t="shared" si="18"/>
        <v/>
      </c>
      <c r="O123" s="29">
        <f t="shared" si="19"/>
        <v>0</v>
      </c>
      <c r="P123" s="29">
        <f t="shared" si="20"/>
        <v>0</v>
      </c>
      <c r="Q123" s="29">
        <f>IF(A123&lt;&gt;"",SUM(F$2:F123),Q122)</f>
        <v>8</v>
      </c>
      <c r="R123" s="30">
        <f t="shared" si="29"/>
        <v>0</v>
      </c>
    </row>
    <row r="124" spans="1:18" x14ac:dyDescent="0.25">
      <c r="A124" s="27" t="str">
        <f>IF('Data Sheet'!A124="","",'Data Sheet'!A124)</f>
        <v/>
      </c>
      <c r="B124" s="28" t="str">
        <f>IF('Data Sheet'!B124="","",'Data Sheet'!B124)</f>
        <v/>
      </c>
      <c r="C124" s="28" t="str">
        <f>IF('Data Sheet'!C124="","",'Data Sheet'!C124)</f>
        <v/>
      </c>
      <c r="D124" s="28" t="str">
        <f>IF('Data Sheet'!D124="","",'Data Sheet'!D124)</f>
        <v/>
      </c>
      <c r="E124" s="29" t="str">
        <f t="shared" si="21"/>
        <v>C</v>
      </c>
      <c r="F124" s="51">
        <v>0</v>
      </c>
      <c r="G124" s="49">
        <f t="shared" si="22"/>
        <v>0</v>
      </c>
      <c r="H124" s="49">
        <f t="shared" si="23"/>
        <v>0</v>
      </c>
      <c r="I124" s="49">
        <f t="shared" si="24"/>
        <v>0</v>
      </c>
      <c r="J124" s="49">
        <f t="shared" si="25"/>
        <v>0</v>
      </c>
      <c r="K124" s="49">
        <f t="shared" si="26"/>
        <v>0</v>
      </c>
      <c r="L124" s="49">
        <f t="shared" si="27"/>
        <v>0</v>
      </c>
      <c r="M124" s="49">
        <f t="shared" si="28"/>
        <v>0</v>
      </c>
      <c r="N124" s="29" t="str">
        <f t="shared" si="18"/>
        <v/>
      </c>
      <c r="O124" s="29">
        <f t="shared" si="19"/>
        <v>0</v>
      </c>
      <c r="P124" s="29">
        <f t="shared" si="20"/>
        <v>0</v>
      </c>
      <c r="Q124" s="29">
        <f>IF(A124&lt;&gt;"",SUM(F$2:F124),Q123)</f>
        <v>8</v>
      </c>
      <c r="R124" s="30">
        <f t="shared" si="29"/>
        <v>0</v>
      </c>
    </row>
    <row r="125" spans="1:18" x14ac:dyDescent="0.25">
      <c r="A125" s="27" t="str">
        <f>IF('Data Sheet'!A125="","",'Data Sheet'!A125)</f>
        <v/>
      </c>
      <c r="B125" s="28" t="str">
        <f>IF('Data Sheet'!B125="","",'Data Sheet'!B125)</f>
        <v/>
      </c>
      <c r="C125" s="28" t="str">
        <f>IF('Data Sheet'!C125="","",'Data Sheet'!C125)</f>
        <v/>
      </c>
      <c r="D125" s="28" t="str">
        <f>IF('Data Sheet'!D125="","",'Data Sheet'!D125)</f>
        <v/>
      </c>
      <c r="E125" s="29" t="str">
        <f t="shared" si="21"/>
        <v>C</v>
      </c>
      <c r="F125" s="51">
        <v>0</v>
      </c>
      <c r="G125" s="49">
        <f t="shared" si="22"/>
        <v>0</v>
      </c>
      <c r="H125" s="49">
        <f t="shared" si="23"/>
        <v>0</v>
      </c>
      <c r="I125" s="49">
        <f t="shared" si="24"/>
        <v>0</v>
      </c>
      <c r="J125" s="49">
        <f t="shared" si="25"/>
        <v>0</v>
      </c>
      <c r="K125" s="49">
        <f t="shared" si="26"/>
        <v>0</v>
      </c>
      <c r="L125" s="49">
        <f t="shared" si="27"/>
        <v>0</v>
      </c>
      <c r="M125" s="49">
        <f t="shared" si="28"/>
        <v>0</v>
      </c>
      <c r="N125" s="29" t="str">
        <f t="shared" si="18"/>
        <v/>
      </c>
      <c r="O125" s="29">
        <f t="shared" si="19"/>
        <v>0</v>
      </c>
      <c r="P125" s="29">
        <f t="shared" si="20"/>
        <v>0</v>
      </c>
      <c r="Q125" s="29">
        <f>IF(A125&lt;&gt;"",SUM(F$2:F125),Q124)</f>
        <v>8</v>
      </c>
      <c r="R125" s="30">
        <f t="shared" si="29"/>
        <v>0</v>
      </c>
    </row>
    <row r="126" spans="1:18" x14ac:dyDescent="0.25">
      <c r="A126" s="27" t="str">
        <f>IF('Data Sheet'!A126="","",'Data Sheet'!A126)</f>
        <v/>
      </c>
      <c r="B126" s="28" t="str">
        <f>IF('Data Sheet'!B126="","",'Data Sheet'!B126)</f>
        <v/>
      </c>
      <c r="C126" s="28" t="str">
        <f>IF('Data Sheet'!C126="","",'Data Sheet'!C126)</f>
        <v/>
      </c>
      <c r="D126" s="28" t="str">
        <f>IF('Data Sheet'!D126="","",'Data Sheet'!D126)</f>
        <v/>
      </c>
      <c r="E126" s="29" t="str">
        <f t="shared" si="21"/>
        <v>C</v>
      </c>
      <c r="F126" s="51">
        <v>0</v>
      </c>
      <c r="G126" s="49">
        <f t="shared" si="22"/>
        <v>0</v>
      </c>
      <c r="H126" s="49">
        <f t="shared" si="23"/>
        <v>0</v>
      </c>
      <c r="I126" s="49">
        <f t="shared" si="24"/>
        <v>0</v>
      </c>
      <c r="J126" s="49">
        <f t="shared" si="25"/>
        <v>0</v>
      </c>
      <c r="K126" s="49">
        <f t="shared" si="26"/>
        <v>0</v>
      </c>
      <c r="L126" s="49">
        <f t="shared" si="27"/>
        <v>0</v>
      </c>
      <c r="M126" s="49">
        <f t="shared" si="28"/>
        <v>0</v>
      </c>
      <c r="N126" s="29" t="str">
        <f t="shared" si="18"/>
        <v/>
      </c>
      <c r="O126" s="29">
        <f t="shared" si="19"/>
        <v>0</v>
      </c>
      <c r="P126" s="29">
        <f t="shared" si="20"/>
        <v>0</v>
      </c>
      <c r="Q126" s="29">
        <f>IF(A126&lt;&gt;"",SUM(F$2:F126),Q125)</f>
        <v>8</v>
      </c>
      <c r="R126" s="30">
        <f t="shared" si="29"/>
        <v>0</v>
      </c>
    </row>
    <row r="127" spans="1:18" x14ac:dyDescent="0.25">
      <c r="A127" s="27" t="str">
        <f>IF('Data Sheet'!A127="","",'Data Sheet'!A127)</f>
        <v/>
      </c>
      <c r="B127" s="28" t="str">
        <f>IF('Data Sheet'!B127="","",'Data Sheet'!B127)</f>
        <v/>
      </c>
      <c r="C127" s="28" t="str">
        <f>IF('Data Sheet'!C127="","",'Data Sheet'!C127)</f>
        <v/>
      </c>
      <c r="D127" s="28" t="str">
        <f>IF('Data Sheet'!D127="","",'Data Sheet'!D127)</f>
        <v/>
      </c>
      <c r="E127" s="29" t="str">
        <f t="shared" si="21"/>
        <v>C</v>
      </c>
      <c r="F127" s="51">
        <v>0</v>
      </c>
      <c r="G127" s="49">
        <f t="shared" si="22"/>
        <v>0</v>
      </c>
      <c r="H127" s="49">
        <f t="shared" si="23"/>
        <v>0</v>
      </c>
      <c r="I127" s="49">
        <f t="shared" si="24"/>
        <v>0</v>
      </c>
      <c r="J127" s="49">
        <f t="shared" si="25"/>
        <v>0</v>
      </c>
      <c r="K127" s="49">
        <f t="shared" si="26"/>
        <v>0</v>
      </c>
      <c r="L127" s="49">
        <f t="shared" si="27"/>
        <v>0</v>
      </c>
      <c r="M127" s="49">
        <f t="shared" si="28"/>
        <v>0</v>
      </c>
      <c r="N127" s="29" t="str">
        <f t="shared" si="18"/>
        <v/>
      </c>
      <c r="O127" s="29">
        <f t="shared" si="19"/>
        <v>0</v>
      </c>
      <c r="P127" s="29">
        <f t="shared" si="20"/>
        <v>0</v>
      </c>
      <c r="Q127" s="29">
        <f>IF(A127&lt;&gt;"",SUM(F$2:F127),Q126)</f>
        <v>8</v>
      </c>
      <c r="R127" s="30">
        <f t="shared" si="29"/>
        <v>0</v>
      </c>
    </row>
    <row r="128" spans="1:18" x14ac:dyDescent="0.25">
      <c r="A128" s="27" t="str">
        <f>IF('Data Sheet'!A128="","",'Data Sheet'!A128)</f>
        <v/>
      </c>
      <c r="B128" s="28" t="str">
        <f>IF('Data Sheet'!B128="","",'Data Sheet'!B128)</f>
        <v/>
      </c>
      <c r="C128" s="28" t="str">
        <f>IF('Data Sheet'!C128="","",'Data Sheet'!C128)</f>
        <v/>
      </c>
      <c r="D128" s="28" t="str">
        <f>IF('Data Sheet'!D128="","",'Data Sheet'!D128)</f>
        <v/>
      </c>
      <c r="E128" s="29" t="str">
        <f t="shared" si="21"/>
        <v>C</v>
      </c>
      <c r="F128" s="51">
        <v>0</v>
      </c>
      <c r="G128" s="49">
        <f t="shared" si="22"/>
        <v>0</v>
      </c>
      <c r="H128" s="49">
        <f t="shared" si="23"/>
        <v>0</v>
      </c>
      <c r="I128" s="49">
        <f t="shared" si="24"/>
        <v>0</v>
      </c>
      <c r="J128" s="49">
        <f t="shared" si="25"/>
        <v>0</v>
      </c>
      <c r="K128" s="49">
        <f t="shared" si="26"/>
        <v>0</v>
      </c>
      <c r="L128" s="49">
        <f t="shared" si="27"/>
        <v>0</v>
      </c>
      <c r="M128" s="49">
        <f t="shared" si="28"/>
        <v>0</v>
      </c>
      <c r="N128" s="29" t="str">
        <f t="shared" si="18"/>
        <v/>
      </c>
      <c r="O128" s="29">
        <f t="shared" si="19"/>
        <v>0</v>
      </c>
      <c r="P128" s="29">
        <f t="shared" si="20"/>
        <v>0</v>
      </c>
      <c r="Q128" s="29">
        <f>IF(A128&lt;&gt;"",SUM(F$2:F128),Q127)</f>
        <v>8</v>
      </c>
      <c r="R128" s="30">
        <f t="shared" si="29"/>
        <v>0</v>
      </c>
    </row>
    <row r="129" spans="1:18" x14ac:dyDescent="0.25">
      <c r="A129" s="27" t="str">
        <f>IF('Data Sheet'!A129="","",'Data Sheet'!A129)</f>
        <v/>
      </c>
      <c r="B129" s="28" t="str">
        <f>IF('Data Sheet'!B129="","",'Data Sheet'!B129)</f>
        <v/>
      </c>
      <c r="C129" s="28" t="str">
        <f>IF('Data Sheet'!C129="","",'Data Sheet'!C129)</f>
        <v/>
      </c>
      <c r="D129" s="28" t="str">
        <f>IF('Data Sheet'!D129="","",'Data Sheet'!D129)</f>
        <v/>
      </c>
      <c r="E129" s="29" t="str">
        <f t="shared" si="21"/>
        <v>C</v>
      </c>
      <c r="F129" s="51">
        <v>0</v>
      </c>
      <c r="G129" s="49">
        <f t="shared" si="22"/>
        <v>0</v>
      </c>
      <c r="H129" s="49">
        <f t="shared" si="23"/>
        <v>0</v>
      </c>
      <c r="I129" s="49">
        <f t="shared" si="24"/>
        <v>0</v>
      </c>
      <c r="J129" s="49">
        <f t="shared" si="25"/>
        <v>0</v>
      </c>
      <c r="K129" s="49">
        <f t="shared" si="26"/>
        <v>0</v>
      </c>
      <c r="L129" s="49">
        <f t="shared" si="27"/>
        <v>0</v>
      </c>
      <c r="M129" s="49">
        <f t="shared" si="28"/>
        <v>0</v>
      </c>
      <c r="N129" s="29" t="str">
        <f t="shared" si="18"/>
        <v/>
      </c>
      <c r="O129" s="29">
        <f t="shared" si="19"/>
        <v>0</v>
      </c>
      <c r="P129" s="29">
        <f t="shared" si="20"/>
        <v>0</v>
      </c>
      <c r="Q129" s="29">
        <f>IF(A129&lt;&gt;"",SUM(F$2:F129),Q128)</f>
        <v>8</v>
      </c>
      <c r="R129" s="30">
        <f t="shared" si="29"/>
        <v>0</v>
      </c>
    </row>
    <row r="130" spans="1:18" x14ac:dyDescent="0.25">
      <c r="A130" s="27" t="str">
        <f>IF('Data Sheet'!A130="","",'Data Sheet'!A130)</f>
        <v/>
      </c>
      <c r="B130" s="28" t="str">
        <f>IF('Data Sheet'!B130="","",'Data Sheet'!B130)</f>
        <v/>
      </c>
      <c r="C130" s="28" t="str">
        <f>IF('Data Sheet'!C130="","",'Data Sheet'!C130)</f>
        <v/>
      </c>
      <c r="D130" s="28" t="str">
        <f>IF('Data Sheet'!D130="","",'Data Sheet'!D130)</f>
        <v/>
      </c>
      <c r="E130" s="29" t="str">
        <f t="shared" si="21"/>
        <v>C</v>
      </c>
      <c r="F130" s="51">
        <v>0</v>
      </c>
      <c r="G130" s="49">
        <f t="shared" si="22"/>
        <v>0</v>
      </c>
      <c r="H130" s="49">
        <f t="shared" si="23"/>
        <v>0</v>
      </c>
      <c r="I130" s="49">
        <f t="shared" si="24"/>
        <v>0</v>
      </c>
      <c r="J130" s="49">
        <f t="shared" si="25"/>
        <v>0</v>
      </c>
      <c r="K130" s="49">
        <f t="shared" si="26"/>
        <v>0</v>
      </c>
      <c r="L130" s="49">
        <f t="shared" si="27"/>
        <v>0</v>
      </c>
      <c r="M130" s="49">
        <f t="shared" si="28"/>
        <v>0</v>
      </c>
      <c r="N130" s="29" t="str">
        <f t="shared" ref="N130:N193" si="30">IFERROR(VLOOKUP(B130,$U$16:$U$23,1,FALSE), "")</f>
        <v/>
      </c>
      <c r="O130" s="29">
        <f t="shared" ref="O130:O193" si="31">IF(A130="",0,IF(N130="",D130,D130*10))</f>
        <v>0</v>
      </c>
      <c r="P130" s="29">
        <f t="shared" ref="P130:P193" si="32">O130*F130</f>
        <v>0</v>
      </c>
      <c r="Q130" s="29">
        <f>IF(A130&lt;&gt;"",SUM(F$2:F130),Q129)</f>
        <v>8</v>
      </c>
      <c r="R130" s="30">
        <f t="shared" si="29"/>
        <v>0</v>
      </c>
    </row>
    <row r="131" spans="1:18" x14ac:dyDescent="0.25">
      <c r="A131" s="27" t="str">
        <f>IF('Data Sheet'!A131="","",'Data Sheet'!A131)</f>
        <v/>
      </c>
      <c r="B131" s="28" t="str">
        <f>IF('Data Sheet'!B131="","",'Data Sheet'!B131)</f>
        <v/>
      </c>
      <c r="C131" s="28" t="str">
        <f>IF('Data Sheet'!C131="","",'Data Sheet'!C131)</f>
        <v/>
      </c>
      <c r="D131" s="28" t="str">
        <f>IF('Data Sheet'!D131="","",'Data Sheet'!D131)</f>
        <v/>
      </c>
      <c r="E131" s="29" t="str">
        <f t="shared" ref="E131:E194" si="33">IF(OR(A131="SF",A131="PF"),"F",IF(OR(A131="SG",A131="PG"),"G","C"))</f>
        <v>C</v>
      </c>
      <c r="F131" s="51">
        <v>0</v>
      </c>
      <c r="G131" s="49">
        <f t="shared" ref="G131:G194" si="34">IF(A131="SF",1,0)</f>
        <v>0</v>
      </c>
      <c r="H131" s="49">
        <f t="shared" ref="H131:H194" si="35">IF(A131="SG",1,0)</f>
        <v>0</v>
      </c>
      <c r="I131" s="49">
        <f t="shared" ref="I131:I194" si="36">IF(A131="C",1,0)</f>
        <v>0</v>
      </c>
      <c r="J131" s="49">
        <f t="shared" ref="J131:J194" si="37">IF(A131="PG",1,0)</f>
        <v>0</v>
      </c>
      <c r="K131" s="49">
        <f t="shared" ref="K131:K194" si="38">IF(A131="PF",1,0)</f>
        <v>0</v>
      </c>
      <c r="L131" s="49">
        <f t="shared" ref="L131:L194" si="39">IF(E131="G",1,0)</f>
        <v>0</v>
      </c>
      <c r="M131" s="49">
        <f t="shared" ref="M131:M194" si="40">IF(E131="F",1,0)</f>
        <v>0</v>
      </c>
      <c r="N131" s="29" t="str">
        <f t="shared" si="30"/>
        <v/>
      </c>
      <c r="O131" s="29">
        <f t="shared" si="31"/>
        <v>0</v>
      </c>
      <c r="P131" s="29">
        <f t="shared" si="32"/>
        <v>0</v>
      </c>
      <c r="Q131" s="29">
        <f>IF(A131&lt;&gt;"",SUM(F$2:F131),Q130)</f>
        <v>8</v>
      </c>
      <c r="R131" s="30">
        <f t="shared" si="29"/>
        <v>0</v>
      </c>
    </row>
    <row r="132" spans="1:18" x14ac:dyDescent="0.25">
      <c r="A132" s="27" t="str">
        <f>IF('Data Sheet'!A132="","",'Data Sheet'!A132)</f>
        <v/>
      </c>
      <c r="B132" s="28" t="str">
        <f>IF('Data Sheet'!B132="","",'Data Sheet'!B132)</f>
        <v/>
      </c>
      <c r="C132" s="28" t="str">
        <f>IF('Data Sheet'!C132="","",'Data Sheet'!C132)</f>
        <v/>
      </c>
      <c r="D132" s="28" t="str">
        <f>IF('Data Sheet'!D132="","",'Data Sheet'!D132)</f>
        <v/>
      </c>
      <c r="E132" s="29" t="str">
        <f t="shared" si="33"/>
        <v>C</v>
      </c>
      <c r="F132" s="51">
        <v>0</v>
      </c>
      <c r="G132" s="49">
        <f t="shared" si="34"/>
        <v>0</v>
      </c>
      <c r="H132" s="49">
        <f t="shared" si="35"/>
        <v>0</v>
      </c>
      <c r="I132" s="49">
        <f t="shared" si="36"/>
        <v>0</v>
      </c>
      <c r="J132" s="49">
        <f t="shared" si="37"/>
        <v>0</v>
      </c>
      <c r="K132" s="49">
        <f t="shared" si="38"/>
        <v>0</v>
      </c>
      <c r="L132" s="49">
        <f t="shared" si="39"/>
        <v>0</v>
      </c>
      <c r="M132" s="49">
        <f t="shared" si="40"/>
        <v>0</v>
      </c>
      <c r="N132" s="29" t="str">
        <f t="shared" si="30"/>
        <v/>
      </c>
      <c r="O132" s="29">
        <f t="shared" si="31"/>
        <v>0</v>
      </c>
      <c r="P132" s="29">
        <f t="shared" si="32"/>
        <v>0</v>
      </c>
      <c r="Q132" s="29">
        <f>IF(A132&lt;&gt;"",SUM(F$2:F132),Q131)</f>
        <v>8</v>
      </c>
      <c r="R132" s="30">
        <f t="shared" ref="R132:R195" si="41">IF(Q132=Q131,0,Q132)</f>
        <v>0</v>
      </c>
    </row>
    <row r="133" spans="1:18" x14ac:dyDescent="0.25">
      <c r="A133" s="27" t="str">
        <f>IF('Data Sheet'!A133="","",'Data Sheet'!A133)</f>
        <v/>
      </c>
      <c r="B133" s="28" t="str">
        <f>IF('Data Sheet'!B133="","",'Data Sheet'!B133)</f>
        <v/>
      </c>
      <c r="C133" s="28" t="str">
        <f>IF('Data Sheet'!C133="","",'Data Sheet'!C133)</f>
        <v/>
      </c>
      <c r="D133" s="28" t="str">
        <f>IF('Data Sheet'!D133="","",'Data Sheet'!D133)</f>
        <v/>
      </c>
      <c r="E133" s="29" t="str">
        <f t="shared" si="33"/>
        <v>C</v>
      </c>
      <c r="F133" s="51">
        <v>0</v>
      </c>
      <c r="G133" s="49">
        <f t="shared" si="34"/>
        <v>0</v>
      </c>
      <c r="H133" s="49">
        <f t="shared" si="35"/>
        <v>0</v>
      </c>
      <c r="I133" s="49">
        <f t="shared" si="36"/>
        <v>0</v>
      </c>
      <c r="J133" s="49">
        <f t="shared" si="37"/>
        <v>0</v>
      </c>
      <c r="K133" s="49">
        <f t="shared" si="38"/>
        <v>0</v>
      </c>
      <c r="L133" s="49">
        <f t="shared" si="39"/>
        <v>0</v>
      </c>
      <c r="M133" s="49">
        <f t="shared" si="40"/>
        <v>0</v>
      </c>
      <c r="N133" s="29" t="str">
        <f t="shared" si="30"/>
        <v/>
      </c>
      <c r="O133" s="29">
        <f t="shared" si="31"/>
        <v>0</v>
      </c>
      <c r="P133" s="29">
        <f t="shared" si="32"/>
        <v>0</v>
      </c>
      <c r="Q133" s="29">
        <f>IF(A133&lt;&gt;"",SUM(F$2:F133),Q132)</f>
        <v>8</v>
      </c>
      <c r="R133" s="30">
        <f t="shared" si="41"/>
        <v>0</v>
      </c>
    </row>
    <row r="134" spans="1:18" x14ac:dyDescent="0.25">
      <c r="A134" s="27" t="str">
        <f>IF('Data Sheet'!A134="","",'Data Sheet'!A134)</f>
        <v/>
      </c>
      <c r="B134" s="28" t="str">
        <f>IF('Data Sheet'!B134="","",'Data Sheet'!B134)</f>
        <v/>
      </c>
      <c r="C134" s="28" t="str">
        <f>IF('Data Sheet'!C134="","",'Data Sheet'!C134)</f>
        <v/>
      </c>
      <c r="D134" s="28" t="str">
        <f>IF('Data Sheet'!D134="","",'Data Sheet'!D134)</f>
        <v/>
      </c>
      <c r="E134" s="29" t="str">
        <f t="shared" si="33"/>
        <v>C</v>
      </c>
      <c r="F134" s="51">
        <v>0</v>
      </c>
      <c r="G134" s="49">
        <f t="shared" si="34"/>
        <v>0</v>
      </c>
      <c r="H134" s="49">
        <f t="shared" si="35"/>
        <v>0</v>
      </c>
      <c r="I134" s="49">
        <f t="shared" si="36"/>
        <v>0</v>
      </c>
      <c r="J134" s="49">
        <f t="shared" si="37"/>
        <v>0</v>
      </c>
      <c r="K134" s="49">
        <f t="shared" si="38"/>
        <v>0</v>
      </c>
      <c r="L134" s="49">
        <f t="shared" si="39"/>
        <v>0</v>
      </c>
      <c r="M134" s="49">
        <f t="shared" si="40"/>
        <v>0</v>
      </c>
      <c r="N134" s="29" t="str">
        <f t="shared" si="30"/>
        <v/>
      </c>
      <c r="O134" s="29">
        <f t="shared" si="31"/>
        <v>0</v>
      </c>
      <c r="P134" s="29">
        <f t="shared" si="32"/>
        <v>0</v>
      </c>
      <c r="Q134" s="29">
        <f>IF(A134&lt;&gt;"",SUM(F$2:F134),Q133)</f>
        <v>8</v>
      </c>
      <c r="R134" s="30">
        <f t="shared" si="41"/>
        <v>0</v>
      </c>
    </row>
    <row r="135" spans="1:18" x14ac:dyDescent="0.25">
      <c r="A135" s="27" t="str">
        <f>IF('Data Sheet'!A135="","",'Data Sheet'!A135)</f>
        <v/>
      </c>
      <c r="B135" s="28" t="str">
        <f>IF('Data Sheet'!B135="","",'Data Sheet'!B135)</f>
        <v/>
      </c>
      <c r="C135" s="28" t="str">
        <f>IF('Data Sheet'!C135="","",'Data Sheet'!C135)</f>
        <v/>
      </c>
      <c r="D135" s="28" t="str">
        <f>IF('Data Sheet'!D135="","",'Data Sheet'!D135)</f>
        <v/>
      </c>
      <c r="E135" s="29" t="str">
        <f t="shared" si="33"/>
        <v>C</v>
      </c>
      <c r="F135" s="51">
        <v>0</v>
      </c>
      <c r="G135" s="49">
        <f t="shared" si="34"/>
        <v>0</v>
      </c>
      <c r="H135" s="49">
        <f t="shared" si="35"/>
        <v>0</v>
      </c>
      <c r="I135" s="49">
        <f t="shared" si="36"/>
        <v>0</v>
      </c>
      <c r="J135" s="49">
        <f t="shared" si="37"/>
        <v>0</v>
      </c>
      <c r="K135" s="49">
        <f t="shared" si="38"/>
        <v>0</v>
      </c>
      <c r="L135" s="49">
        <f t="shared" si="39"/>
        <v>0</v>
      </c>
      <c r="M135" s="49">
        <f t="shared" si="40"/>
        <v>0</v>
      </c>
      <c r="N135" s="29" t="str">
        <f t="shared" si="30"/>
        <v/>
      </c>
      <c r="O135" s="29">
        <f t="shared" si="31"/>
        <v>0</v>
      </c>
      <c r="P135" s="29">
        <f t="shared" si="32"/>
        <v>0</v>
      </c>
      <c r="Q135" s="29">
        <f>IF(A135&lt;&gt;"",SUM(F$2:F135),Q134)</f>
        <v>8</v>
      </c>
      <c r="R135" s="30">
        <f t="shared" si="41"/>
        <v>0</v>
      </c>
    </row>
    <row r="136" spans="1:18" x14ac:dyDescent="0.25">
      <c r="A136" s="27" t="str">
        <f>IF('Data Sheet'!A136="","",'Data Sheet'!A136)</f>
        <v/>
      </c>
      <c r="B136" s="28" t="str">
        <f>IF('Data Sheet'!B136="","",'Data Sheet'!B136)</f>
        <v/>
      </c>
      <c r="C136" s="28" t="str">
        <f>IF('Data Sheet'!C136="","",'Data Sheet'!C136)</f>
        <v/>
      </c>
      <c r="D136" s="28" t="str">
        <f>IF('Data Sheet'!D136="","",'Data Sheet'!D136)</f>
        <v/>
      </c>
      <c r="E136" s="29" t="str">
        <f t="shared" si="33"/>
        <v>C</v>
      </c>
      <c r="F136" s="51">
        <v>0</v>
      </c>
      <c r="G136" s="49">
        <f t="shared" si="34"/>
        <v>0</v>
      </c>
      <c r="H136" s="49">
        <f t="shared" si="35"/>
        <v>0</v>
      </c>
      <c r="I136" s="49">
        <f t="shared" si="36"/>
        <v>0</v>
      </c>
      <c r="J136" s="49">
        <f t="shared" si="37"/>
        <v>0</v>
      </c>
      <c r="K136" s="49">
        <f t="shared" si="38"/>
        <v>0</v>
      </c>
      <c r="L136" s="49">
        <f t="shared" si="39"/>
        <v>0</v>
      </c>
      <c r="M136" s="49">
        <f t="shared" si="40"/>
        <v>0</v>
      </c>
      <c r="N136" s="29" t="str">
        <f t="shared" si="30"/>
        <v/>
      </c>
      <c r="O136" s="29">
        <f t="shared" si="31"/>
        <v>0</v>
      </c>
      <c r="P136" s="29">
        <f t="shared" si="32"/>
        <v>0</v>
      </c>
      <c r="Q136" s="29">
        <f>IF(A136&lt;&gt;"",SUM(F$2:F136),Q135)</f>
        <v>8</v>
      </c>
      <c r="R136" s="30">
        <f t="shared" si="41"/>
        <v>0</v>
      </c>
    </row>
    <row r="137" spans="1:18" x14ac:dyDescent="0.25">
      <c r="A137" s="27" t="str">
        <f>IF('Data Sheet'!A137="","",'Data Sheet'!A137)</f>
        <v/>
      </c>
      <c r="B137" s="28" t="str">
        <f>IF('Data Sheet'!B137="","",'Data Sheet'!B137)</f>
        <v/>
      </c>
      <c r="C137" s="28" t="str">
        <f>IF('Data Sheet'!C137="","",'Data Sheet'!C137)</f>
        <v/>
      </c>
      <c r="D137" s="28" t="str">
        <f>IF('Data Sheet'!D137="","",'Data Sheet'!D137)</f>
        <v/>
      </c>
      <c r="E137" s="29" t="str">
        <f t="shared" si="33"/>
        <v>C</v>
      </c>
      <c r="F137" s="51">
        <v>0</v>
      </c>
      <c r="G137" s="49">
        <f t="shared" si="34"/>
        <v>0</v>
      </c>
      <c r="H137" s="49">
        <f t="shared" si="35"/>
        <v>0</v>
      </c>
      <c r="I137" s="49">
        <f t="shared" si="36"/>
        <v>0</v>
      </c>
      <c r="J137" s="49">
        <f t="shared" si="37"/>
        <v>0</v>
      </c>
      <c r="K137" s="49">
        <f t="shared" si="38"/>
        <v>0</v>
      </c>
      <c r="L137" s="49">
        <f t="shared" si="39"/>
        <v>0</v>
      </c>
      <c r="M137" s="49">
        <f t="shared" si="40"/>
        <v>0</v>
      </c>
      <c r="N137" s="29" t="str">
        <f t="shared" si="30"/>
        <v/>
      </c>
      <c r="O137" s="29">
        <f t="shared" si="31"/>
        <v>0</v>
      </c>
      <c r="P137" s="29">
        <f t="shared" si="32"/>
        <v>0</v>
      </c>
      <c r="Q137" s="29">
        <f>IF(A137&lt;&gt;"",SUM(F$2:F137),Q136)</f>
        <v>8</v>
      </c>
      <c r="R137" s="30">
        <f t="shared" si="41"/>
        <v>0</v>
      </c>
    </row>
    <row r="138" spans="1:18" x14ac:dyDescent="0.25">
      <c r="A138" s="27" t="str">
        <f>IF('Data Sheet'!A138="","",'Data Sheet'!A138)</f>
        <v/>
      </c>
      <c r="B138" s="28" t="str">
        <f>IF('Data Sheet'!B138="","",'Data Sheet'!B138)</f>
        <v/>
      </c>
      <c r="C138" s="28" t="str">
        <f>IF('Data Sheet'!C138="","",'Data Sheet'!C138)</f>
        <v/>
      </c>
      <c r="D138" s="28" t="str">
        <f>IF('Data Sheet'!D138="","",'Data Sheet'!D138)</f>
        <v/>
      </c>
      <c r="E138" s="29" t="str">
        <f t="shared" si="33"/>
        <v>C</v>
      </c>
      <c r="F138" s="51">
        <v>0</v>
      </c>
      <c r="G138" s="49">
        <f t="shared" si="34"/>
        <v>0</v>
      </c>
      <c r="H138" s="49">
        <f t="shared" si="35"/>
        <v>0</v>
      </c>
      <c r="I138" s="49">
        <f t="shared" si="36"/>
        <v>0</v>
      </c>
      <c r="J138" s="49">
        <f t="shared" si="37"/>
        <v>0</v>
      </c>
      <c r="K138" s="49">
        <f t="shared" si="38"/>
        <v>0</v>
      </c>
      <c r="L138" s="49">
        <f t="shared" si="39"/>
        <v>0</v>
      </c>
      <c r="M138" s="49">
        <f t="shared" si="40"/>
        <v>0</v>
      </c>
      <c r="N138" s="29" t="str">
        <f t="shared" si="30"/>
        <v/>
      </c>
      <c r="O138" s="29">
        <f t="shared" si="31"/>
        <v>0</v>
      </c>
      <c r="P138" s="29">
        <f t="shared" si="32"/>
        <v>0</v>
      </c>
      <c r="Q138" s="29">
        <f>IF(A138&lt;&gt;"",SUM(F$2:F138),Q137)</f>
        <v>8</v>
      </c>
      <c r="R138" s="30">
        <f t="shared" si="41"/>
        <v>0</v>
      </c>
    </row>
    <row r="139" spans="1:18" x14ac:dyDescent="0.25">
      <c r="A139" s="27" t="str">
        <f>IF('Data Sheet'!A139="","",'Data Sheet'!A139)</f>
        <v/>
      </c>
      <c r="B139" s="28" t="str">
        <f>IF('Data Sheet'!B139="","",'Data Sheet'!B139)</f>
        <v/>
      </c>
      <c r="C139" s="28" t="str">
        <f>IF('Data Sheet'!C139="","",'Data Sheet'!C139)</f>
        <v/>
      </c>
      <c r="D139" s="28" t="str">
        <f>IF('Data Sheet'!D139="","",'Data Sheet'!D139)</f>
        <v/>
      </c>
      <c r="E139" s="29" t="str">
        <f t="shared" si="33"/>
        <v>C</v>
      </c>
      <c r="F139" s="51">
        <v>0</v>
      </c>
      <c r="G139" s="49">
        <f t="shared" si="34"/>
        <v>0</v>
      </c>
      <c r="H139" s="49">
        <f t="shared" si="35"/>
        <v>0</v>
      </c>
      <c r="I139" s="49">
        <f t="shared" si="36"/>
        <v>0</v>
      </c>
      <c r="J139" s="49">
        <f t="shared" si="37"/>
        <v>0</v>
      </c>
      <c r="K139" s="49">
        <f t="shared" si="38"/>
        <v>0</v>
      </c>
      <c r="L139" s="49">
        <f t="shared" si="39"/>
        <v>0</v>
      </c>
      <c r="M139" s="49">
        <f t="shared" si="40"/>
        <v>0</v>
      </c>
      <c r="N139" s="29" t="str">
        <f t="shared" si="30"/>
        <v/>
      </c>
      <c r="O139" s="29">
        <f t="shared" si="31"/>
        <v>0</v>
      </c>
      <c r="P139" s="29">
        <f t="shared" si="32"/>
        <v>0</v>
      </c>
      <c r="Q139" s="29">
        <f>IF(A139&lt;&gt;"",SUM(F$2:F139),Q138)</f>
        <v>8</v>
      </c>
      <c r="R139" s="30">
        <f t="shared" si="41"/>
        <v>0</v>
      </c>
    </row>
    <row r="140" spans="1:18" x14ac:dyDescent="0.25">
      <c r="A140" s="27" t="str">
        <f>IF('Data Sheet'!A140="","",'Data Sheet'!A140)</f>
        <v/>
      </c>
      <c r="B140" s="28" t="str">
        <f>IF('Data Sheet'!B140="","",'Data Sheet'!B140)</f>
        <v/>
      </c>
      <c r="C140" s="28" t="str">
        <f>IF('Data Sheet'!C140="","",'Data Sheet'!C140)</f>
        <v/>
      </c>
      <c r="D140" s="28" t="str">
        <f>IF('Data Sheet'!D140="","",'Data Sheet'!D140)</f>
        <v/>
      </c>
      <c r="E140" s="29" t="str">
        <f t="shared" si="33"/>
        <v>C</v>
      </c>
      <c r="F140" s="51">
        <v>0</v>
      </c>
      <c r="G140" s="49">
        <f t="shared" si="34"/>
        <v>0</v>
      </c>
      <c r="H140" s="49">
        <f t="shared" si="35"/>
        <v>0</v>
      </c>
      <c r="I140" s="49">
        <f t="shared" si="36"/>
        <v>0</v>
      </c>
      <c r="J140" s="49">
        <f t="shared" si="37"/>
        <v>0</v>
      </c>
      <c r="K140" s="49">
        <f t="shared" si="38"/>
        <v>0</v>
      </c>
      <c r="L140" s="49">
        <f t="shared" si="39"/>
        <v>0</v>
      </c>
      <c r="M140" s="49">
        <f t="shared" si="40"/>
        <v>0</v>
      </c>
      <c r="N140" s="29" t="str">
        <f t="shared" si="30"/>
        <v/>
      </c>
      <c r="O140" s="29">
        <f t="shared" si="31"/>
        <v>0</v>
      </c>
      <c r="P140" s="29">
        <f t="shared" si="32"/>
        <v>0</v>
      </c>
      <c r="Q140" s="29">
        <f>IF(A140&lt;&gt;"",SUM(F$2:F140),Q139)</f>
        <v>8</v>
      </c>
      <c r="R140" s="30">
        <f t="shared" si="41"/>
        <v>0</v>
      </c>
    </row>
    <row r="141" spans="1:18" x14ac:dyDescent="0.25">
      <c r="A141" s="27" t="str">
        <f>IF('Data Sheet'!A141="","",'Data Sheet'!A141)</f>
        <v/>
      </c>
      <c r="B141" s="28" t="str">
        <f>IF('Data Sheet'!B141="","",'Data Sheet'!B141)</f>
        <v/>
      </c>
      <c r="C141" s="28" t="str">
        <f>IF('Data Sheet'!C141="","",'Data Sheet'!C141)</f>
        <v/>
      </c>
      <c r="D141" s="28" t="str">
        <f>IF('Data Sheet'!D141="","",'Data Sheet'!D141)</f>
        <v/>
      </c>
      <c r="E141" s="29" t="str">
        <f t="shared" si="33"/>
        <v>C</v>
      </c>
      <c r="F141" s="51">
        <v>0</v>
      </c>
      <c r="G141" s="49">
        <f t="shared" si="34"/>
        <v>0</v>
      </c>
      <c r="H141" s="49">
        <f t="shared" si="35"/>
        <v>0</v>
      </c>
      <c r="I141" s="49">
        <f t="shared" si="36"/>
        <v>0</v>
      </c>
      <c r="J141" s="49">
        <f t="shared" si="37"/>
        <v>0</v>
      </c>
      <c r="K141" s="49">
        <f t="shared" si="38"/>
        <v>0</v>
      </c>
      <c r="L141" s="49">
        <f t="shared" si="39"/>
        <v>0</v>
      </c>
      <c r="M141" s="49">
        <f t="shared" si="40"/>
        <v>0</v>
      </c>
      <c r="N141" s="29" t="str">
        <f t="shared" si="30"/>
        <v/>
      </c>
      <c r="O141" s="29">
        <f t="shared" si="31"/>
        <v>0</v>
      </c>
      <c r="P141" s="29">
        <f t="shared" si="32"/>
        <v>0</v>
      </c>
      <c r="Q141" s="29">
        <f>IF(A141&lt;&gt;"",SUM(F$2:F141),Q140)</f>
        <v>8</v>
      </c>
      <c r="R141" s="30">
        <f t="shared" si="41"/>
        <v>0</v>
      </c>
    </row>
    <row r="142" spans="1:18" x14ac:dyDescent="0.25">
      <c r="A142" s="27" t="str">
        <f>IF('Data Sheet'!A142="","",'Data Sheet'!A142)</f>
        <v/>
      </c>
      <c r="B142" s="28" t="str">
        <f>IF('Data Sheet'!B142="","",'Data Sheet'!B142)</f>
        <v/>
      </c>
      <c r="C142" s="28" t="str">
        <f>IF('Data Sheet'!C142="","",'Data Sheet'!C142)</f>
        <v/>
      </c>
      <c r="D142" s="28" t="str">
        <f>IF('Data Sheet'!D142="","",'Data Sheet'!D142)</f>
        <v/>
      </c>
      <c r="E142" s="29" t="str">
        <f t="shared" si="33"/>
        <v>C</v>
      </c>
      <c r="F142" s="51">
        <v>0</v>
      </c>
      <c r="G142" s="49">
        <f t="shared" si="34"/>
        <v>0</v>
      </c>
      <c r="H142" s="49">
        <f t="shared" si="35"/>
        <v>0</v>
      </c>
      <c r="I142" s="49">
        <f t="shared" si="36"/>
        <v>0</v>
      </c>
      <c r="J142" s="49">
        <f t="shared" si="37"/>
        <v>0</v>
      </c>
      <c r="K142" s="49">
        <f t="shared" si="38"/>
        <v>0</v>
      </c>
      <c r="L142" s="49">
        <f t="shared" si="39"/>
        <v>0</v>
      </c>
      <c r="M142" s="49">
        <f t="shared" si="40"/>
        <v>0</v>
      </c>
      <c r="N142" s="29" t="str">
        <f t="shared" si="30"/>
        <v/>
      </c>
      <c r="O142" s="29">
        <f t="shared" si="31"/>
        <v>0</v>
      </c>
      <c r="P142" s="29">
        <f t="shared" si="32"/>
        <v>0</v>
      </c>
      <c r="Q142" s="29">
        <f>IF(A142&lt;&gt;"",SUM(F$2:F142),Q141)</f>
        <v>8</v>
      </c>
      <c r="R142" s="30">
        <f t="shared" si="41"/>
        <v>0</v>
      </c>
    </row>
    <row r="143" spans="1:18" x14ac:dyDescent="0.25">
      <c r="A143" s="27" t="str">
        <f>IF('Data Sheet'!A143="","",'Data Sheet'!A143)</f>
        <v/>
      </c>
      <c r="B143" s="28" t="str">
        <f>IF('Data Sheet'!B143="","",'Data Sheet'!B143)</f>
        <v/>
      </c>
      <c r="C143" s="28" t="str">
        <f>IF('Data Sheet'!C143="","",'Data Sheet'!C143)</f>
        <v/>
      </c>
      <c r="D143" s="28" t="str">
        <f>IF('Data Sheet'!D143="","",'Data Sheet'!D143)</f>
        <v/>
      </c>
      <c r="E143" s="29" t="str">
        <f t="shared" si="33"/>
        <v>C</v>
      </c>
      <c r="F143" s="51">
        <v>0</v>
      </c>
      <c r="G143" s="49">
        <f t="shared" si="34"/>
        <v>0</v>
      </c>
      <c r="H143" s="49">
        <f t="shared" si="35"/>
        <v>0</v>
      </c>
      <c r="I143" s="49">
        <f t="shared" si="36"/>
        <v>0</v>
      </c>
      <c r="J143" s="49">
        <f t="shared" si="37"/>
        <v>0</v>
      </c>
      <c r="K143" s="49">
        <f t="shared" si="38"/>
        <v>0</v>
      </c>
      <c r="L143" s="49">
        <f t="shared" si="39"/>
        <v>0</v>
      </c>
      <c r="M143" s="49">
        <f t="shared" si="40"/>
        <v>0</v>
      </c>
      <c r="N143" s="29" t="str">
        <f t="shared" si="30"/>
        <v/>
      </c>
      <c r="O143" s="29">
        <f t="shared" si="31"/>
        <v>0</v>
      </c>
      <c r="P143" s="29">
        <f t="shared" si="32"/>
        <v>0</v>
      </c>
      <c r="Q143" s="29">
        <f>IF(A143&lt;&gt;"",SUM(F$2:F143),Q142)</f>
        <v>8</v>
      </c>
      <c r="R143" s="30">
        <f t="shared" si="41"/>
        <v>0</v>
      </c>
    </row>
    <row r="144" spans="1:18" x14ac:dyDescent="0.25">
      <c r="A144" s="27" t="str">
        <f>IF('Data Sheet'!A144="","",'Data Sheet'!A144)</f>
        <v/>
      </c>
      <c r="B144" s="28" t="str">
        <f>IF('Data Sheet'!B144="","",'Data Sheet'!B144)</f>
        <v/>
      </c>
      <c r="C144" s="28" t="str">
        <f>IF('Data Sheet'!C144="","",'Data Sheet'!C144)</f>
        <v/>
      </c>
      <c r="D144" s="28" t="str">
        <f>IF('Data Sheet'!D144="","",'Data Sheet'!D144)</f>
        <v/>
      </c>
      <c r="E144" s="29" t="str">
        <f t="shared" si="33"/>
        <v>C</v>
      </c>
      <c r="F144" s="51">
        <v>0</v>
      </c>
      <c r="G144" s="49">
        <f t="shared" si="34"/>
        <v>0</v>
      </c>
      <c r="H144" s="49">
        <f t="shared" si="35"/>
        <v>0</v>
      </c>
      <c r="I144" s="49">
        <f t="shared" si="36"/>
        <v>0</v>
      </c>
      <c r="J144" s="49">
        <f t="shared" si="37"/>
        <v>0</v>
      </c>
      <c r="K144" s="49">
        <f t="shared" si="38"/>
        <v>0</v>
      </c>
      <c r="L144" s="49">
        <f t="shared" si="39"/>
        <v>0</v>
      </c>
      <c r="M144" s="49">
        <f t="shared" si="40"/>
        <v>0</v>
      </c>
      <c r="N144" s="29" t="str">
        <f t="shared" si="30"/>
        <v/>
      </c>
      <c r="O144" s="29">
        <f t="shared" si="31"/>
        <v>0</v>
      </c>
      <c r="P144" s="29">
        <f t="shared" si="32"/>
        <v>0</v>
      </c>
      <c r="Q144" s="29">
        <f>IF(A144&lt;&gt;"",SUM(F$2:F144),Q143)</f>
        <v>8</v>
      </c>
      <c r="R144" s="30">
        <f t="shared" si="41"/>
        <v>0</v>
      </c>
    </row>
    <row r="145" spans="1:18" x14ac:dyDescent="0.25">
      <c r="A145" s="27" t="str">
        <f>IF('Data Sheet'!A145="","",'Data Sheet'!A145)</f>
        <v/>
      </c>
      <c r="B145" s="28" t="str">
        <f>IF('Data Sheet'!B145="","",'Data Sheet'!B145)</f>
        <v/>
      </c>
      <c r="C145" s="28" t="str">
        <f>IF('Data Sheet'!C145="","",'Data Sheet'!C145)</f>
        <v/>
      </c>
      <c r="D145" s="28" t="str">
        <f>IF('Data Sheet'!D145="","",'Data Sheet'!D145)</f>
        <v/>
      </c>
      <c r="E145" s="29" t="str">
        <f t="shared" si="33"/>
        <v>C</v>
      </c>
      <c r="F145" s="51">
        <v>0</v>
      </c>
      <c r="G145" s="49">
        <f t="shared" si="34"/>
        <v>0</v>
      </c>
      <c r="H145" s="49">
        <f t="shared" si="35"/>
        <v>0</v>
      </c>
      <c r="I145" s="49">
        <f t="shared" si="36"/>
        <v>0</v>
      </c>
      <c r="J145" s="49">
        <f t="shared" si="37"/>
        <v>0</v>
      </c>
      <c r="K145" s="49">
        <f t="shared" si="38"/>
        <v>0</v>
      </c>
      <c r="L145" s="49">
        <f t="shared" si="39"/>
        <v>0</v>
      </c>
      <c r="M145" s="49">
        <f t="shared" si="40"/>
        <v>0</v>
      </c>
      <c r="N145" s="29" t="str">
        <f t="shared" si="30"/>
        <v/>
      </c>
      <c r="O145" s="29">
        <f t="shared" si="31"/>
        <v>0</v>
      </c>
      <c r="P145" s="29">
        <f t="shared" si="32"/>
        <v>0</v>
      </c>
      <c r="Q145" s="29">
        <f>IF(A145&lt;&gt;"",SUM(F$2:F145),Q144)</f>
        <v>8</v>
      </c>
      <c r="R145" s="30">
        <f t="shared" si="41"/>
        <v>0</v>
      </c>
    </row>
    <row r="146" spans="1:18" x14ac:dyDescent="0.25">
      <c r="A146" s="27" t="str">
        <f>IF('Data Sheet'!A146="","",'Data Sheet'!A146)</f>
        <v/>
      </c>
      <c r="B146" s="28" t="str">
        <f>IF('Data Sheet'!B146="","",'Data Sheet'!B146)</f>
        <v/>
      </c>
      <c r="C146" s="28" t="str">
        <f>IF('Data Sheet'!C146="","",'Data Sheet'!C146)</f>
        <v/>
      </c>
      <c r="D146" s="28" t="str">
        <f>IF('Data Sheet'!D146="","",'Data Sheet'!D146)</f>
        <v/>
      </c>
      <c r="E146" s="29" t="str">
        <f t="shared" si="33"/>
        <v>C</v>
      </c>
      <c r="F146" s="51">
        <v>0</v>
      </c>
      <c r="G146" s="49">
        <f t="shared" si="34"/>
        <v>0</v>
      </c>
      <c r="H146" s="49">
        <f t="shared" si="35"/>
        <v>0</v>
      </c>
      <c r="I146" s="49">
        <f t="shared" si="36"/>
        <v>0</v>
      </c>
      <c r="J146" s="49">
        <f t="shared" si="37"/>
        <v>0</v>
      </c>
      <c r="K146" s="49">
        <f t="shared" si="38"/>
        <v>0</v>
      </c>
      <c r="L146" s="49">
        <f t="shared" si="39"/>
        <v>0</v>
      </c>
      <c r="M146" s="49">
        <f t="shared" si="40"/>
        <v>0</v>
      </c>
      <c r="N146" s="29" t="str">
        <f t="shared" si="30"/>
        <v/>
      </c>
      <c r="O146" s="29">
        <f t="shared" si="31"/>
        <v>0</v>
      </c>
      <c r="P146" s="29">
        <f t="shared" si="32"/>
        <v>0</v>
      </c>
      <c r="Q146" s="29">
        <f>IF(A146&lt;&gt;"",SUM(F$2:F146),Q145)</f>
        <v>8</v>
      </c>
      <c r="R146" s="30">
        <f t="shared" si="41"/>
        <v>0</v>
      </c>
    </row>
    <row r="147" spans="1:18" x14ac:dyDescent="0.25">
      <c r="A147" s="27" t="str">
        <f>IF('Data Sheet'!A147="","",'Data Sheet'!A147)</f>
        <v/>
      </c>
      <c r="B147" s="28" t="str">
        <f>IF('Data Sheet'!B147="","",'Data Sheet'!B147)</f>
        <v/>
      </c>
      <c r="C147" s="28" t="str">
        <f>IF('Data Sheet'!C147="","",'Data Sheet'!C147)</f>
        <v/>
      </c>
      <c r="D147" s="28" t="str">
        <f>IF('Data Sheet'!D147="","",'Data Sheet'!D147)</f>
        <v/>
      </c>
      <c r="E147" s="29" t="str">
        <f t="shared" si="33"/>
        <v>C</v>
      </c>
      <c r="F147" s="51">
        <v>0</v>
      </c>
      <c r="G147" s="49">
        <f t="shared" si="34"/>
        <v>0</v>
      </c>
      <c r="H147" s="49">
        <f t="shared" si="35"/>
        <v>0</v>
      </c>
      <c r="I147" s="49">
        <f t="shared" si="36"/>
        <v>0</v>
      </c>
      <c r="J147" s="49">
        <f t="shared" si="37"/>
        <v>0</v>
      </c>
      <c r="K147" s="49">
        <f t="shared" si="38"/>
        <v>0</v>
      </c>
      <c r="L147" s="49">
        <f t="shared" si="39"/>
        <v>0</v>
      </c>
      <c r="M147" s="49">
        <f t="shared" si="40"/>
        <v>0</v>
      </c>
      <c r="N147" s="29" t="str">
        <f t="shared" si="30"/>
        <v/>
      </c>
      <c r="O147" s="29">
        <f t="shared" si="31"/>
        <v>0</v>
      </c>
      <c r="P147" s="29">
        <f t="shared" si="32"/>
        <v>0</v>
      </c>
      <c r="Q147" s="29">
        <f>IF(A147&lt;&gt;"",SUM(F$2:F147),Q146)</f>
        <v>8</v>
      </c>
      <c r="R147" s="30">
        <f t="shared" si="41"/>
        <v>0</v>
      </c>
    </row>
    <row r="148" spans="1:18" x14ac:dyDescent="0.25">
      <c r="A148" s="27" t="str">
        <f>IF('Data Sheet'!A148="","",'Data Sheet'!A148)</f>
        <v/>
      </c>
      <c r="B148" s="28" t="str">
        <f>IF('Data Sheet'!B148="","",'Data Sheet'!B148)</f>
        <v/>
      </c>
      <c r="C148" s="28" t="str">
        <f>IF('Data Sheet'!C148="","",'Data Sheet'!C148)</f>
        <v/>
      </c>
      <c r="D148" s="28" t="str">
        <f>IF('Data Sheet'!D148="","",'Data Sheet'!D148)</f>
        <v/>
      </c>
      <c r="E148" s="29" t="str">
        <f t="shared" si="33"/>
        <v>C</v>
      </c>
      <c r="F148" s="51">
        <v>0</v>
      </c>
      <c r="G148" s="49">
        <f t="shared" si="34"/>
        <v>0</v>
      </c>
      <c r="H148" s="49">
        <f t="shared" si="35"/>
        <v>0</v>
      </c>
      <c r="I148" s="49">
        <f t="shared" si="36"/>
        <v>0</v>
      </c>
      <c r="J148" s="49">
        <f t="shared" si="37"/>
        <v>0</v>
      </c>
      <c r="K148" s="49">
        <f t="shared" si="38"/>
        <v>0</v>
      </c>
      <c r="L148" s="49">
        <f t="shared" si="39"/>
        <v>0</v>
      </c>
      <c r="M148" s="49">
        <f t="shared" si="40"/>
        <v>0</v>
      </c>
      <c r="N148" s="29" t="str">
        <f t="shared" si="30"/>
        <v/>
      </c>
      <c r="O148" s="29">
        <f t="shared" si="31"/>
        <v>0</v>
      </c>
      <c r="P148" s="29">
        <f t="shared" si="32"/>
        <v>0</v>
      </c>
      <c r="Q148" s="29">
        <f>IF(A148&lt;&gt;"",SUM(F$2:F148),Q147)</f>
        <v>8</v>
      </c>
      <c r="R148" s="30">
        <f t="shared" si="41"/>
        <v>0</v>
      </c>
    </row>
    <row r="149" spans="1:18" x14ac:dyDescent="0.25">
      <c r="A149" s="27" t="str">
        <f>IF('Data Sheet'!A149="","",'Data Sheet'!A149)</f>
        <v/>
      </c>
      <c r="B149" s="28" t="str">
        <f>IF('Data Sheet'!B149="","",'Data Sheet'!B149)</f>
        <v/>
      </c>
      <c r="C149" s="28" t="str">
        <f>IF('Data Sheet'!C149="","",'Data Sheet'!C149)</f>
        <v/>
      </c>
      <c r="D149" s="28" t="str">
        <f>IF('Data Sheet'!D149="","",'Data Sheet'!D149)</f>
        <v/>
      </c>
      <c r="E149" s="29" t="str">
        <f t="shared" si="33"/>
        <v>C</v>
      </c>
      <c r="F149" s="51">
        <v>0</v>
      </c>
      <c r="G149" s="49">
        <f t="shared" si="34"/>
        <v>0</v>
      </c>
      <c r="H149" s="49">
        <f t="shared" si="35"/>
        <v>0</v>
      </c>
      <c r="I149" s="49">
        <f t="shared" si="36"/>
        <v>0</v>
      </c>
      <c r="J149" s="49">
        <f t="shared" si="37"/>
        <v>0</v>
      </c>
      <c r="K149" s="49">
        <f t="shared" si="38"/>
        <v>0</v>
      </c>
      <c r="L149" s="49">
        <f t="shared" si="39"/>
        <v>0</v>
      </c>
      <c r="M149" s="49">
        <f t="shared" si="40"/>
        <v>0</v>
      </c>
      <c r="N149" s="29" t="str">
        <f t="shared" si="30"/>
        <v/>
      </c>
      <c r="O149" s="29">
        <f t="shared" si="31"/>
        <v>0</v>
      </c>
      <c r="P149" s="29">
        <f t="shared" si="32"/>
        <v>0</v>
      </c>
      <c r="Q149" s="29">
        <f>IF(A149&lt;&gt;"",SUM(F$2:F149),Q148)</f>
        <v>8</v>
      </c>
      <c r="R149" s="30">
        <f t="shared" si="41"/>
        <v>0</v>
      </c>
    </row>
    <row r="150" spans="1:18" x14ac:dyDescent="0.25">
      <c r="A150" s="27" t="str">
        <f>IF('Data Sheet'!A150="","",'Data Sheet'!A150)</f>
        <v/>
      </c>
      <c r="B150" s="28" t="str">
        <f>IF('Data Sheet'!B150="","",'Data Sheet'!B150)</f>
        <v/>
      </c>
      <c r="C150" s="28" t="str">
        <f>IF('Data Sheet'!C150="","",'Data Sheet'!C150)</f>
        <v/>
      </c>
      <c r="D150" s="28" t="str">
        <f>IF('Data Sheet'!D150="","",'Data Sheet'!D150)</f>
        <v/>
      </c>
      <c r="E150" s="29" t="str">
        <f t="shared" si="33"/>
        <v>C</v>
      </c>
      <c r="F150" s="51">
        <v>0</v>
      </c>
      <c r="G150" s="49">
        <f t="shared" si="34"/>
        <v>0</v>
      </c>
      <c r="H150" s="49">
        <f t="shared" si="35"/>
        <v>0</v>
      </c>
      <c r="I150" s="49">
        <f t="shared" si="36"/>
        <v>0</v>
      </c>
      <c r="J150" s="49">
        <f t="shared" si="37"/>
        <v>0</v>
      </c>
      <c r="K150" s="49">
        <f t="shared" si="38"/>
        <v>0</v>
      </c>
      <c r="L150" s="49">
        <f t="shared" si="39"/>
        <v>0</v>
      </c>
      <c r="M150" s="49">
        <f t="shared" si="40"/>
        <v>0</v>
      </c>
      <c r="N150" s="29" t="str">
        <f t="shared" si="30"/>
        <v/>
      </c>
      <c r="O150" s="29">
        <f t="shared" si="31"/>
        <v>0</v>
      </c>
      <c r="P150" s="29">
        <f t="shared" si="32"/>
        <v>0</v>
      </c>
      <c r="Q150" s="29">
        <f>IF(A150&lt;&gt;"",SUM(F$2:F150),Q149)</f>
        <v>8</v>
      </c>
      <c r="R150" s="30">
        <f t="shared" si="41"/>
        <v>0</v>
      </c>
    </row>
    <row r="151" spans="1:18" x14ac:dyDescent="0.25">
      <c r="A151" s="27" t="str">
        <f>IF('Data Sheet'!A151="","",'Data Sheet'!A151)</f>
        <v/>
      </c>
      <c r="B151" s="28" t="str">
        <f>IF('Data Sheet'!B151="","",'Data Sheet'!B151)</f>
        <v/>
      </c>
      <c r="C151" s="28" t="str">
        <f>IF('Data Sheet'!C151="","",'Data Sheet'!C151)</f>
        <v/>
      </c>
      <c r="D151" s="28" t="str">
        <f>IF('Data Sheet'!D151="","",'Data Sheet'!D151)</f>
        <v/>
      </c>
      <c r="E151" s="29" t="str">
        <f t="shared" si="33"/>
        <v>C</v>
      </c>
      <c r="F151" s="51">
        <v>0</v>
      </c>
      <c r="G151" s="49">
        <f t="shared" si="34"/>
        <v>0</v>
      </c>
      <c r="H151" s="49">
        <f t="shared" si="35"/>
        <v>0</v>
      </c>
      <c r="I151" s="49">
        <f t="shared" si="36"/>
        <v>0</v>
      </c>
      <c r="J151" s="49">
        <f t="shared" si="37"/>
        <v>0</v>
      </c>
      <c r="K151" s="49">
        <f t="shared" si="38"/>
        <v>0</v>
      </c>
      <c r="L151" s="49">
        <f t="shared" si="39"/>
        <v>0</v>
      </c>
      <c r="M151" s="49">
        <f t="shared" si="40"/>
        <v>0</v>
      </c>
      <c r="N151" s="29" t="str">
        <f t="shared" si="30"/>
        <v/>
      </c>
      <c r="O151" s="29">
        <f t="shared" si="31"/>
        <v>0</v>
      </c>
      <c r="P151" s="29">
        <f t="shared" si="32"/>
        <v>0</v>
      </c>
      <c r="Q151" s="29">
        <f>IF(A151&lt;&gt;"",SUM(F$2:F151),Q150)</f>
        <v>8</v>
      </c>
      <c r="R151" s="30">
        <f t="shared" si="41"/>
        <v>0</v>
      </c>
    </row>
    <row r="152" spans="1:18" x14ac:dyDescent="0.25">
      <c r="A152" s="27" t="str">
        <f>IF('Data Sheet'!A152="","",'Data Sheet'!A152)</f>
        <v/>
      </c>
      <c r="B152" s="28" t="str">
        <f>IF('Data Sheet'!B152="","",'Data Sheet'!B152)</f>
        <v/>
      </c>
      <c r="C152" s="28" t="str">
        <f>IF('Data Sheet'!C152="","",'Data Sheet'!C152)</f>
        <v/>
      </c>
      <c r="D152" s="28" t="str">
        <f>IF('Data Sheet'!D152="","",'Data Sheet'!D152)</f>
        <v/>
      </c>
      <c r="E152" s="29" t="str">
        <f t="shared" si="33"/>
        <v>C</v>
      </c>
      <c r="F152" s="51">
        <v>0</v>
      </c>
      <c r="G152" s="49">
        <f t="shared" si="34"/>
        <v>0</v>
      </c>
      <c r="H152" s="49">
        <f t="shared" si="35"/>
        <v>0</v>
      </c>
      <c r="I152" s="49">
        <f t="shared" si="36"/>
        <v>0</v>
      </c>
      <c r="J152" s="49">
        <f t="shared" si="37"/>
        <v>0</v>
      </c>
      <c r="K152" s="49">
        <f t="shared" si="38"/>
        <v>0</v>
      </c>
      <c r="L152" s="49">
        <f t="shared" si="39"/>
        <v>0</v>
      </c>
      <c r="M152" s="49">
        <f t="shared" si="40"/>
        <v>0</v>
      </c>
      <c r="N152" s="29" t="str">
        <f t="shared" si="30"/>
        <v/>
      </c>
      <c r="O152" s="29">
        <f t="shared" si="31"/>
        <v>0</v>
      </c>
      <c r="P152" s="29">
        <f t="shared" si="32"/>
        <v>0</v>
      </c>
      <c r="Q152" s="29">
        <f>IF(A152&lt;&gt;"",SUM(F$2:F152),Q151)</f>
        <v>8</v>
      </c>
      <c r="R152" s="30">
        <f t="shared" si="41"/>
        <v>0</v>
      </c>
    </row>
    <row r="153" spans="1:18" x14ac:dyDescent="0.25">
      <c r="A153" s="27" t="str">
        <f>IF('Data Sheet'!A153="","",'Data Sheet'!A153)</f>
        <v/>
      </c>
      <c r="B153" s="28" t="str">
        <f>IF('Data Sheet'!B153="","",'Data Sheet'!B153)</f>
        <v/>
      </c>
      <c r="C153" s="28" t="str">
        <f>IF('Data Sheet'!C153="","",'Data Sheet'!C153)</f>
        <v/>
      </c>
      <c r="D153" s="28" t="str">
        <f>IF('Data Sheet'!D153="","",'Data Sheet'!D153)</f>
        <v/>
      </c>
      <c r="E153" s="29" t="str">
        <f t="shared" si="33"/>
        <v>C</v>
      </c>
      <c r="F153" s="51">
        <v>0</v>
      </c>
      <c r="G153" s="49">
        <f t="shared" si="34"/>
        <v>0</v>
      </c>
      <c r="H153" s="49">
        <f t="shared" si="35"/>
        <v>0</v>
      </c>
      <c r="I153" s="49">
        <f t="shared" si="36"/>
        <v>0</v>
      </c>
      <c r="J153" s="49">
        <f t="shared" si="37"/>
        <v>0</v>
      </c>
      <c r="K153" s="49">
        <f t="shared" si="38"/>
        <v>0</v>
      </c>
      <c r="L153" s="49">
        <f t="shared" si="39"/>
        <v>0</v>
      </c>
      <c r="M153" s="49">
        <f t="shared" si="40"/>
        <v>0</v>
      </c>
      <c r="N153" s="29" t="str">
        <f t="shared" si="30"/>
        <v/>
      </c>
      <c r="O153" s="29">
        <f t="shared" si="31"/>
        <v>0</v>
      </c>
      <c r="P153" s="29">
        <f t="shared" si="32"/>
        <v>0</v>
      </c>
      <c r="Q153" s="29">
        <f>IF(A153&lt;&gt;"",SUM(F$2:F153),Q152)</f>
        <v>8</v>
      </c>
      <c r="R153" s="30">
        <f t="shared" si="41"/>
        <v>0</v>
      </c>
    </row>
    <row r="154" spans="1:18" x14ac:dyDescent="0.25">
      <c r="A154" s="27" t="str">
        <f>IF('Data Sheet'!A154="","",'Data Sheet'!A154)</f>
        <v/>
      </c>
      <c r="B154" s="28" t="str">
        <f>IF('Data Sheet'!B154="","",'Data Sheet'!B154)</f>
        <v/>
      </c>
      <c r="C154" s="28" t="str">
        <f>IF('Data Sheet'!C154="","",'Data Sheet'!C154)</f>
        <v/>
      </c>
      <c r="D154" s="28" t="str">
        <f>IF('Data Sheet'!D154="","",'Data Sheet'!D154)</f>
        <v/>
      </c>
      <c r="E154" s="29" t="str">
        <f t="shared" si="33"/>
        <v>C</v>
      </c>
      <c r="F154" s="51">
        <v>0</v>
      </c>
      <c r="G154" s="49">
        <f t="shared" si="34"/>
        <v>0</v>
      </c>
      <c r="H154" s="49">
        <f t="shared" si="35"/>
        <v>0</v>
      </c>
      <c r="I154" s="49">
        <f t="shared" si="36"/>
        <v>0</v>
      </c>
      <c r="J154" s="49">
        <f t="shared" si="37"/>
        <v>0</v>
      </c>
      <c r="K154" s="49">
        <f t="shared" si="38"/>
        <v>0</v>
      </c>
      <c r="L154" s="49">
        <f t="shared" si="39"/>
        <v>0</v>
      </c>
      <c r="M154" s="49">
        <f t="shared" si="40"/>
        <v>0</v>
      </c>
      <c r="N154" s="29" t="str">
        <f t="shared" si="30"/>
        <v/>
      </c>
      <c r="O154" s="29">
        <f t="shared" si="31"/>
        <v>0</v>
      </c>
      <c r="P154" s="29">
        <f t="shared" si="32"/>
        <v>0</v>
      </c>
      <c r="Q154" s="29">
        <f>IF(A154&lt;&gt;"",SUM(F$2:F154),Q153)</f>
        <v>8</v>
      </c>
      <c r="R154" s="30">
        <f t="shared" si="41"/>
        <v>0</v>
      </c>
    </row>
    <row r="155" spans="1:18" x14ac:dyDescent="0.25">
      <c r="A155" s="27" t="str">
        <f>IF('Data Sheet'!A155="","",'Data Sheet'!A155)</f>
        <v/>
      </c>
      <c r="B155" s="28" t="str">
        <f>IF('Data Sheet'!B155="","",'Data Sheet'!B155)</f>
        <v/>
      </c>
      <c r="C155" s="28" t="str">
        <f>IF('Data Sheet'!C155="","",'Data Sheet'!C155)</f>
        <v/>
      </c>
      <c r="D155" s="28" t="str">
        <f>IF('Data Sheet'!D155="","",'Data Sheet'!D155)</f>
        <v/>
      </c>
      <c r="E155" s="29" t="str">
        <f t="shared" si="33"/>
        <v>C</v>
      </c>
      <c r="F155" s="51">
        <v>0</v>
      </c>
      <c r="G155" s="49">
        <f t="shared" si="34"/>
        <v>0</v>
      </c>
      <c r="H155" s="49">
        <f t="shared" si="35"/>
        <v>0</v>
      </c>
      <c r="I155" s="49">
        <f t="shared" si="36"/>
        <v>0</v>
      </c>
      <c r="J155" s="49">
        <f t="shared" si="37"/>
        <v>0</v>
      </c>
      <c r="K155" s="49">
        <f t="shared" si="38"/>
        <v>0</v>
      </c>
      <c r="L155" s="49">
        <f t="shared" si="39"/>
        <v>0</v>
      </c>
      <c r="M155" s="49">
        <f t="shared" si="40"/>
        <v>0</v>
      </c>
      <c r="N155" s="29" t="str">
        <f t="shared" si="30"/>
        <v/>
      </c>
      <c r="O155" s="29">
        <f t="shared" si="31"/>
        <v>0</v>
      </c>
      <c r="P155" s="29">
        <f t="shared" si="32"/>
        <v>0</v>
      </c>
      <c r="Q155" s="29">
        <f>IF(A155&lt;&gt;"",SUM(F$2:F155),Q154)</f>
        <v>8</v>
      </c>
      <c r="R155" s="30">
        <f t="shared" si="41"/>
        <v>0</v>
      </c>
    </row>
    <row r="156" spans="1:18" x14ac:dyDescent="0.25">
      <c r="A156" s="27" t="str">
        <f>IF('Data Sheet'!A156="","",'Data Sheet'!A156)</f>
        <v/>
      </c>
      <c r="B156" s="28" t="str">
        <f>IF('Data Sheet'!B156="","",'Data Sheet'!B156)</f>
        <v/>
      </c>
      <c r="C156" s="28" t="str">
        <f>IF('Data Sheet'!C156="","",'Data Sheet'!C156)</f>
        <v/>
      </c>
      <c r="D156" s="28" t="str">
        <f>IF('Data Sheet'!D156="","",'Data Sheet'!D156)</f>
        <v/>
      </c>
      <c r="E156" s="29" t="str">
        <f t="shared" si="33"/>
        <v>C</v>
      </c>
      <c r="F156" s="51">
        <v>0</v>
      </c>
      <c r="G156" s="49">
        <f t="shared" si="34"/>
        <v>0</v>
      </c>
      <c r="H156" s="49">
        <f t="shared" si="35"/>
        <v>0</v>
      </c>
      <c r="I156" s="49">
        <f t="shared" si="36"/>
        <v>0</v>
      </c>
      <c r="J156" s="49">
        <f t="shared" si="37"/>
        <v>0</v>
      </c>
      <c r="K156" s="49">
        <f t="shared" si="38"/>
        <v>0</v>
      </c>
      <c r="L156" s="49">
        <f t="shared" si="39"/>
        <v>0</v>
      </c>
      <c r="M156" s="49">
        <f t="shared" si="40"/>
        <v>0</v>
      </c>
      <c r="N156" s="29" t="str">
        <f t="shared" si="30"/>
        <v/>
      </c>
      <c r="O156" s="29">
        <f t="shared" si="31"/>
        <v>0</v>
      </c>
      <c r="P156" s="29">
        <f t="shared" si="32"/>
        <v>0</v>
      </c>
      <c r="Q156" s="29">
        <f>IF(A156&lt;&gt;"",SUM(F$2:F156),Q155)</f>
        <v>8</v>
      </c>
      <c r="R156" s="30">
        <f t="shared" si="41"/>
        <v>0</v>
      </c>
    </row>
    <row r="157" spans="1:18" x14ac:dyDescent="0.25">
      <c r="A157" s="27" t="str">
        <f>IF('Data Sheet'!A157="","",'Data Sheet'!A157)</f>
        <v/>
      </c>
      <c r="B157" s="28" t="str">
        <f>IF('Data Sheet'!B157="","",'Data Sheet'!B157)</f>
        <v/>
      </c>
      <c r="C157" s="28" t="str">
        <f>IF('Data Sheet'!C157="","",'Data Sheet'!C157)</f>
        <v/>
      </c>
      <c r="D157" s="28" t="str">
        <f>IF('Data Sheet'!D157="","",'Data Sheet'!D157)</f>
        <v/>
      </c>
      <c r="E157" s="29" t="str">
        <f t="shared" si="33"/>
        <v>C</v>
      </c>
      <c r="F157" s="51">
        <v>0</v>
      </c>
      <c r="G157" s="49">
        <f t="shared" si="34"/>
        <v>0</v>
      </c>
      <c r="H157" s="49">
        <f t="shared" si="35"/>
        <v>0</v>
      </c>
      <c r="I157" s="49">
        <f t="shared" si="36"/>
        <v>0</v>
      </c>
      <c r="J157" s="49">
        <f t="shared" si="37"/>
        <v>0</v>
      </c>
      <c r="K157" s="49">
        <f t="shared" si="38"/>
        <v>0</v>
      </c>
      <c r="L157" s="49">
        <f t="shared" si="39"/>
        <v>0</v>
      </c>
      <c r="M157" s="49">
        <f t="shared" si="40"/>
        <v>0</v>
      </c>
      <c r="N157" s="29" t="str">
        <f t="shared" si="30"/>
        <v/>
      </c>
      <c r="O157" s="29">
        <f t="shared" si="31"/>
        <v>0</v>
      </c>
      <c r="P157" s="29">
        <f t="shared" si="32"/>
        <v>0</v>
      </c>
      <c r="Q157" s="29">
        <f>IF(A157&lt;&gt;"",SUM(F$2:F157),Q156)</f>
        <v>8</v>
      </c>
      <c r="R157" s="30">
        <f t="shared" si="41"/>
        <v>0</v>
      </c>
    </row>
    <row r="158" spans="1:18" x14ac:dyDescent="0.25">
      <c r="A158" s="27" t="str">
        <f>IF('Data Sheet'!A158="","",'Data Sheet'!A158)</f>
        <v/>
      </c>
      <c r="B158" s="28" t="str">
        <f>IF('Data Sheet'!B158="","",'Data Sheet'!B158)</f>
        <v/>
      </c>
      <c r="C158" s="28" t="str">
        <f>IF('Data Sheet'!C158="","",'Data Sheet'!C158)</f>
        <v/>
      </c>
      <c r="D158" s="28" t="str">
        <f>IF('Data Sheet'!D158="","",'Data Sheet'!D158)</f>
        <v/>
      </c>
      <c r="E158" s="29" t="str">
        <f t="shared" si="33"/>
        <v>C</v>
      </c>
      <c r="F158" s="51">
        <v>0</v>
      </c>
      <c r="G158" s="49">
        <f t="shared" si="34"/>
        <v>0</v>
      </c>
      <c r="H158" s="49">
        <f t="shared" si="35"/>
        <v>0</v>
      </c>
      <c r="I158" s="49">
        <f t="shared" si="36"/>
        <v>0</v>
      </c>
      <c r="J158" s="49">
        <f t="shared" si="37"/>
        <v>0</v>
      </c>
      <c r="K158" s="49">
        <f t="shared" si="38"/>
        <v>0</v>
      </c>
      <c r="L158" s="49">
        <f t="shared" si="39"/>
        <v>0</v>
      </c>
      <c r="M158" s="49">
        <f t="shared" si="40"/>
        <v>0</v>
      </c>
      <c r="N158" s="29" t="str">
        <f t="shared" si="30"/>
        <v/>
      </c>
      <c r="O158" s="29">
        <f t="shared" si="31"/>
        <v>0</v>
      </c>
      <c r="P158" s="29">
        <f t="shared" si="32"/>
        <v>0</v>
      </c>
      <c r="Q158" s="29">
        <f>IF(A158&lt;&gt;"",SUM(F$2:F158),Q157)</f>
        <v>8</v>
      </c>
      <c r="R158" s="30">
        <f t="shared" si="41"/>
        <v>0</v>
      </c>
    </row>
    <row r="159" spans="1:18" x14ac:dyDescent="0.25">
      <c r="A159" s="27" t="str">
        <f>IF('Data Sheet'!A159="","",'Data Sheet'!A159)</f>
        <v/>
      </c>
      <c r="B159" s="28" t="str">
        <f>IF('Data Sheet'!B159="","",'Data Sheet'!B159)</f>
        <v/>
      </c>
      <c r="C159" s="28" t="str">
        <f>IF('Data Sheet'!C159="","",'Data Sheet'!C159)</f>
        <v/>
      </c>
      <c r="D159" s="28" t="str">
        <f>IF('Data Sheet'!D159="","",'Data Sheet'!D159)</f>
        <v/>
      </c>
      <c r="E159" s="29" t="str">
        <f t="shared" si="33"/>
        <v>C</v>
      </c>
      <c r="F159" s="51">
        <v>0</v>
      </c>
      <c r="G159" s="49">
        <f t="shared" si="34"/>
        <v>0</v>
      </c>
      <c r="H159" s="49">
        <f t="shared" si="35"/>
        <v>0</v>
      </c>
      <c r="I159" s="49">
        <f t="shared" si="36"/>
        <v>0</v>
      </c>
      <c r="J159" s="49">
        <f t="shared" si="37"/>
        <v>0</v>
      </c>
      <c r="K159" s="49">
        <f t="shared" si="38"/>
        <v>0</v>
      </c>
      <c r="L159" s="49">
        <f t="shared" si="39"/>
        <v>0</v>
      </c>
      <c r="M159" s="49">
        <f t="shared" si="40"/>
        <v>0</v>
      </c>
      <c r="N159" s="29" t="str">
        <f t="shared" si="30"/>
        <v/>
      </c>
      <c r="O159" s="29">
        <f t="shared" si="31"/>
        <v>0</v>
      </c>
      <c r="P159" s="29">
        <f t="shared" si="32"/>
        <v>0</v>
      </c>
      <c r="Q159" s="29">
        <f>IF(A159&lt;&gt;"",SUM(F$2:F159),Q158)</f>
        <v>8</v>
      </c>
      <c r="R159" s="30">
        <f t="shared" si="41"/>
        <v>0</v>
      </c>
    </row>
    <row r="160" spans="1:18" x14ac:dyDescent="0.25">
      <c r="A160" s="27" t="str">
        <f>IF('Data Sheet'!A160="","",'Data Sheet'!A160)</f>
        <v/>
      </c>
      <c r="B160" s="28" t="str">
        <f>IF('Data Sheet'!B160="","",'Data Sheet'!B160)</f>
        <v/>
      </c>
      <c r="C160" s="28" t="str">
        <f>IF('Data Sheet'!C160="","",'Data Sheet'!C160)</f>
        <v/>
      </c>
      <c r="D160" s="28" t="str">
        <f>IF('Data Sheet'!D160="","",'Data Sheet'!D160)</f>
        <v/>
      </c>
      <c r="E160" s="29" t="str">
        <f t="shared" si="33"/>
        <v>C</v>
      </c>
      <c r="F160" s="51">
        <v>0</v>
      </c>
      <c r="G160" s="49">
        <f t="shared" si="34"/>
        <v>0</v>
      </c>
      <c r="H160" s="49">
        <f t="shared" si="35"/>
        <v>0</v>
      </c>
      <c r="I160" s="49">
        <f t="shared" si="36"/>
        <v>0</v>
      </c>
      <c r="J160" s="49">
        <f t="shared" si="37"/>
        <v>0</v>
      </c>
      <c r="K160" s="49">
        <f t="shared" si="38"/>
        <v>0</v>
      </c>
      <c r="L160" s="49">
        <f t="shared" si="39"/>
        <v>0</v>
      </c>
      <c r="M160" s="49">
        <f t="shared" si="40"/>
        <v>0</v>
      </c>
      <c r="N160" s="29" t="str">
        <f t="shared" si="30"/>
        <v/>
      </c>
      <c r="O160" s="29">
        <f t="shared" si="31"/>
        <v>0</v>
      </c>
      <c r="P160" s="29">
        <f t="shared" si="32"/>
        <v>0</v>
      </c>
      <c r="Q160" s="29">
        <f>IF(A160&lt;&gt;"",SUM(F$2:F160),Q159)</f>
        <v>8</v>
      </c>
      <c r="R160" s="30">
        <f t="shared" si="41"/>
        <v>0</v>
      </c>
    </row>
    <row r="161" spans="1:18" x14ac:dyDescent="0.25">
      <c r="A161" s="27" t="str">
        <f>IF('Data Sheet'!A161="","",'Data Sheet'!A161)</f>
        <v/>
      </c>
      <c r="B161" s="28" t="str">
        <f>IF('Data Sheet'!B161="","",'Data Sheet'!B161)</f>
        <v/>
      </c>
      <c r="C161" s="28" t="str">
        <f>IF('Data Sheet'!C161="","",'Data Sheet'!C161)</f>
        <v/>
      </c>
      <c r="D161" s="28" t="str">
        <f>IF('Data Sheet'!D161="","",'Data Sheet'!D161)</f>
        <v/>
      </c>
      <c r="E161" s="29" t="str">
        <f t="shared" si="33"/>
        <v>C</v>
      </c>
      <c r="F161" s="51">
        <v>0</v>
      </c>
      <c r="G161" s="49">
        <f t="shared" si="34"/>
        <v>0</v>
      </c>
      <c r="H161" s="49">
        <f t="shared" si="35"/>
        <v>0</v>
      </c>
      <c r="I161" s="49">
        <f t="shared" si="36"/>
        <v>0</v>
      </c>
      <c r="J161" s="49">
        <f t="shared" si="37"/>
        <v>0</v>
      </c>
      <c r="K161" s="49">
        <f t="shared" si="38"/>
        <v>0</v>
      </c>
      <c r="L161" s="49">
        <f t="shared" si="39"/>
        <v>0</v>
      </c>
      <c r="M161" s="49">
        <f t="shared" si="40"/>
        <v>0</v>
      </c>
      <c r="N161" s="29" t="str">
        <f t="shared" si="30"/>
        <v/>
      </c>
      <c r="O161" s="29">
        <f t="shared" si="31"/>
        <v>0</v>
      </c>
      <c r="P161" s="29">
        <f t="shared" si="32"/>
        <v>0</v>
      </c>
      <c r="Q161" s="29">
        <f>IF(A161&lt;&gt;"",SUM(F$2:F161),Q160)</f>
        <v>8</v>
      </c>
      <c r="R161" s="30">
        <f t="shared" si="41"/>
        <v>0</v>
      </c>
    </row>
    <row r="162" spans="1:18" x14ac:dyDescent="0.25">
      <c r="A162" s="27" t="str">
        <f>IF('Data Sheet'!A162="","",'Data Sheet'!A162)</f>
        <v/>
      </c>
      <c r="B162" s="28" t="str">
        <f>IF('Data Sheet'!B162="","",'Data Sheet'!B162)</f>
        <v/>
      </c>
      <c r="C162" s="28" t="str">
        <f>IF('Data Sheet'!C162="","",'Data Sheet'!C162)</f>
        <v/>
      </c>
      <c r="D162" s="28" t="str">
        <f>IF('Data Sheet'!D162="","",'Data Sheet'!D162)</f>
        <v/>
      </c>
      <c r="E162" s="29" t="str">
        <f t="shared" si="33"/>
        <v>C</v>
      </c>
      <c r="F162" s="51">
        <v>0</v>
      </c>
      <c r="G162" s="49">
        <f t="shared" si="34"/>
        <v>0</v>
      </c>
      <c r="H162" s="49">
        <f t="shared" si="35"/>
        <v>0</v>
      </c>
      <c r="I162" s="49">
        <f t="shared" si="36"/>
        <v>0</v>
      </c>
      <c r="J162" s="49">
        <f t="shared" si="37"/>
        <v>0</v>
      </c>
      <c r="K162" s="49">
        <f t="shared" si="38"/>
        <v>0</v>
      </c>
      <c r="L162" s="49">
        <f t="shared" si="39"/>
        <v>0</v>
      </c>
      <c r="M162" s="49">
        <f t="shared" si="40"/>
        <v>0</v>
      </c>
      <c r="N162" s="29" t="str">
        <f t="shared" si="30"/>
        <v/>
      </c>
      <c r="O162" s="29">
        <f t="shared" si="31"/>
        <v>0</v>
      </c>
      <c r="P162" s="29">
        <f t="shared" si="32"/>
        <v>0</v>
      </c>
      <c r="Q162" s="29">
        <f>IF(A162&lt;&gt;"",SUM(F$2:F162),Q161)</f>
        <v>8</v>
      </c>
      <c r="R162" s="30">
        <f t="shared" si="41"/>
        <v>0</v>
      </c>
    </row>
    <row r="163" spans="1:18" x14ac:dyDescent="0.25">
      <c r="A163" s="27" t="str">
        <f>IF('Data Sheet'!A163="","",'Data Sheet'!A163)</f>
        <v/>
      </c>
      <c r="B163" s="28" t="str">
        <f>IF('Data Sheet'!B163="","",'Data Sheet'!B163)</f>
        <v/>
      </c>
      <c r="C163" s="28" t="str">
        <f>IF('Data Sheet'!C163="","",'Data Sheet'!C163)</f>
        <v/>
      </c>
      <c r="D163" s="28" t="str">
        <f>IF('Data Sheet'!D163="","",'Data Sheet'!D163)</f>
        <v/>
      </c>
      <c r="E163" s="29" t="str">
        <f t="shared" si="33"/>
        <v>C</v>
      </c>
      <c r="F163" s="51">
        <v>0</v>
      </c>
      <c r="G163" s="49">
        <f t="shared" si="34"/>
        <v>0</v>
      </c>
      <c r="H163" s="49">
        <f t="shared" si="35"/>
        <v>0</v>
      </c>
      <c r="I163" s="49">
        <f t="shared" si="36"/>
        <v>0</v>
      </c>
      <c r="J163" s="49">
        <f t="shared" si="37"/>
        <v>0</v>
      </c>
      <c r="K163" s="49">
        <f t="shared" si="38"/>
        <v>0</v>
      </c>
      <c r="L163" s="49">
        <f t="shared" si="39"/>
        <v>0</v>
      </c>
      <c r="M163" s="49">
        <f t="shared" si="40"/>
        <v>0</v>
      </c>
      <c r="N163" s="29" t="str">
        <f t="shared" si="30"/>
        <v/>
      </c>
      <c r="O163" s="29">
        <f t="shared" si="31"/>
        <v>0</v>
      </c>
      <c r="P163" s="29">
        <f t="shared" si="32"/>
        <v>0</v>
      </c>
      <c r="Q163" s="29">
        <f>IF(A163&lt;&gt;"",SUM(F$2:F163),Q162)</f>
        <v>8</v>
      </c>
      <c r="R163" s="30">
        <f t="shared" si="41"/>
        <v>0</v>
      </c>
    </row>
    <row r="164" spans="1:18" x14ac:dyDescent="0.25">
      <c r="A164" s="27" t="str">
        <f>IF('Data Sheet'!A164="","",'Data Sheet'!A164)</f>
        <v/>
      </c>
      <c r="B164" s="28" t="str">
        <f>IF('Data Sheet'!B164="","",'Data Sheet'!B164)</f>
        <v/>
      </c>
      <c r="C164" s="28" t="str">
        <f>IF('Data Sheet'!C164="","",'Data Sheet'!C164)</f>
        <v/>
      </c>
      <c r="D164" s="28" t="str">
        <f>IF('Data Sheet'!D164="","",'Data Sheet'!D164)</f>
        <v/>
      </c>
      <c r="E164" s="29" t="str">
        <f t="shared" si="33"/>
        <v>C</v>
      </c>
      <c r="F164" s="51">
        <v>0</v>
      </c>
      <c r="G164" s="49">
        <f t="shared" si="34"/>
        <v>0</v>
      </c>
      <c r="H164" s="49">
        <f t="shared" si="35"/>
        <v>0</v>
      </c>
      <c r="I164" s="49">
        <f t="shared" si="36"/>
        <v>0</v>
      </c>
      <c r="J164" s="49">
        <f t="shared" si="37"/>
        <v>0</v>
      </c>
      <c r="K164" s="49">
        <f t="shared" si="38"/>
        <v>0</v>
      </c>
      <c r="L164" s="49">
        <f t="shared" si="39"/>
        <v>0</v>
      </c>
      <c r="M164" s="49">
        <f t="shared" si="40"/>
        <v>0</v>
      </c>
      <c r="N164" s="29" t="str">
        <f t="shared" si="30"/>
        <v/>
      </c>
      <c r="O164" s="29">
        <f t="shared" si="31"/>
        <v>0</v>
      </c>
      <c r="P164" s="29">
        <f t="shared" si="32"/>
        <v>0</v>
      </c>
      <c r="Q164" s="29">
        <f>IF(A164&lt;&gt;"",SUM(F$2:F164),Q163)</f>
        <v>8</v>
      </c>
      <c r="R164" s="30">
        <f t="shared" si="41"/>
        <v>0</v>
      </c>
    </row>
    <row r="165" spans="1:18" x14ac:dyDescent="0.25">
      <c r="A165" s="27" t="str">
        <f>IF('Data Sheet'!A165="","",'Data Sheet'!A165)</f>
        <v/>
      </c>
      <c r="B165" s="28" t="str">
        <f>IF('Data Sheet'!B165="","",'Data Sheet'!B165)</f>
        <v/>
      </c>
      <c r="C165" s="28" t="str">
        <f>IF('Data Sheet'!C165="","",'Data Sheet'!C165)</f>
        <v/>
      </c>
      <c r="D165" s="28" t="str">
        <f>IF('Data Sheet'!D165="","",'Data Sheet'!D165)</f>
        <v/>
      </c>
      <c r="E165" s="29" t="str">
        <f t="shared" si="33"/>
        <v>C</v>
      </c>
      <c r="F165" s="51">
        <v>0</v>
      </c>
      <c r="G165" s="49">
        <f t="shared" si="34"/>
        <v>0</v>
      </c>
      <c r="H165" s="49">
        <f t="shared" si="35"/>
        <v>0</v>
      </c>
      <c r="I165" s="49">
        <f t="shared" si="36"/>
        <v>0</v>
      </c>
      <c r="J165" s="49">
        <f t="shared" si="37"/>
        <v>0</v>
      </c>
      <c r="K165" s="49">
        <f t="shared" si="38"/>
        <v>0</v>
      </c>
      <c r="L165" s="49">
        <f t="shared" si="39"/>
        <v>0</v>
      </c>
      <c r="M165" s="49">
        <f t="shared" si="40"/>
        <v>0</v>
      </c>
      <c r="N165" s="29" t="str">
        <f t="shared" si="30"/>
        <v/>
      </c>
      <c r="O165" s="29">
        <f t="shared" si="31"/>
        <v>0</v>
      </c>
      <c r="P165" s="29">
        <f t="shared" si="32"/>
        <v>0</v>
      </c>
      <c r="Q165" s="29">
        <f>IF(A165&lt;&gt;"",SUM(F$2:F165),Q164)</f>
        <v>8</v>
      </c>
      <c r="R165" s="30">
        <f t="shared" si="41"/>
        <v>0</v>
      </c>
    </row>
    <row r="166" spans="1:18" x14ac:dyDescent="0.25">
      <c r="A166" s="27" t="str">
        <f>IF('Data Sheet'!A166="","",'Data Sheet'!A166)</f>
        <v/>
      </c>
      <c r="B166" s="28" t="str">
        <f>IF('Data Sheet'!B166="","",'Data Sheet'!B166)</f>
        <v/>
      </c>
      <c r="C166" s="28" t="str">
        <f>IF('Data Sheet'!C166="","",'Data Sheet'!C166)</f>
        <v/>
      </c>
      <c r="D166" s="28" t="str">
        <f>IF('Data Sheet'!D166="","",'Data Sheet'!D166)</f>
        <v/>
      </c>
      <c r="E166" s="29" t="str">
        <f t="shared" si="33"/>
        <v>C</v>
      </c>
      <c r="F166" s="51">
        <v>0</v>
      </c>
      <c r="G166" s="49">
        <f t="shared" si="34"/>
        <v>0</v>
      </c>
      <c r="H166" s="49">
        <f t="shared" si="35"/>
        <v>0</v>
      </c>
      <c r="I166" s="49">
        <f t="shared" si="36"/>
        <v>0</v>
      </c>
      <c r="J166" s="49">
        <f t="shared" si="37"/>
        <v>0</v>
      </c>
      <c r="K166" s="49">
        <f t="shared" si="38"/>
        <v>0</v>
      </c>
      <c r="L166" s="49">
        <f t="shared" si="39"/>
        <v>0</v>
      </c>
      <c r="M166" s="49">
        <f t="shared" si="40"/>
        <v>0</v>
      </c>
      <c r="N166" s="29" t="str">
        <f t="shared" si="30"/>
        <v/>
      </c>
      <c r="O166" s="29">
        <f t="shared" si="31"/>
        <v>0</v>
      </c>
      <c r="P166" s="29">
        <f t="shared" si="32"/>
        <v>0</v>
      </c>
      <c r="Q166" s="29">
        <f>IF(A166&lt;&gt;"",SUM(F$2:F166),Q165)</f>
        <v>8</v>
      </c>
      <c r="R166" s="30">
        <f t="shared" si="41"/>
        <v>0</v>
      </c>
    </row>
    <row r="167" spans="1:18" x14ac:dyDescent="0.25">
      <c r="A167" s="27" t="str">
        <f>IF('Data Sheet'!A167="","",'Data Sheet'!A167)</f>
        <v/>
      </c>
      <c r="B167" s="28" t="str">
        <f>IF('Data Sheet'!B167="","",'Data Sheet'!B167)</f>
        <v/>
      </c>
      <c r="C167" s="28" t="str">
        <f>IF('Data Sheet'!C167="","",'Data Sheet'!C167)</f>
        <v/>
      </c>
      <c r="D167" s="28" t="str">
        <f>IF('Data Sheet'!D167="","",'Data Sheet'!D167)</f>
        <v/>
      </c>
      <c r="E167" s="29" t="str">
        <f t="shared" si="33"/>
        <v>C</v>
      </c>
      <c r="F167" s="51">
        <v>0</v>
      </c>
      <c r="G167" s="49">
        <f t="shared" si="34"/>
        <v>0</v>
      </c>
      <c r="H167" s="49">
        <f t="shared" si="35"/>
        <v>0</v>
      </c>
      <c r="I167" s="49">
        <f t="shared" si="36"/>
        <v>0</v>
      </c>
      <c r="J167" s="49">
        <f t="shared" si="37"/>
        <v>0</v>
      </c>
      <c r="K167" s="49">
        <f t="shared" si="38"/>
        <v>0</v>
      </c>
      <c r="L167" s="49">
        <f t="shared" si="39"/>
        <v>0</v>
      </c>
      <c r="M167" s="49">
        <f t="shared" si="40"/>
        <v>0</v>
      </c>
      <c r="N167" s="29" t="str">
        <f t="shared" si="30"/>
        <v/>
      </c>
      <c r="O167" s="29">
        <f t="shared" si="31"/>
        <v>0</v>
      </c>
      <c r="P167" s="29">
        <f t="shared" si="32"/>
        <v>0</v>
      </c>
      <c r="Q167" s="29">
        <f>IF(A167&lt;&gt;"",SUM(F$2:F167),Q166)</f>
        <v>8</v>
      </c>
      <c r="R167" s="30">
        <f t="shared" si="41"/>
        <v>0</v>
      </c>
    </row>
    <row r="168" spans="1:18" x14ac:dyDescent="0.25">
      <c r="A168" s="27" t="str">
        <f>IF('Data Sheet'!A168="","",'Data Sheet'!A168)</f>
        <v/>
      </c>
      <c r="B168" s="28" t="str">
        <f>IF('Data Sheet'!B168="","",'Data Sheet'!B168)</f>
        <v/>
      </c>
      <c r="C168" s="28" t="str">
        <f>IF('Data Sheet'!C168="","",'Data Sheet'!C168)</f>
        <v/>
      </c>
      <c r="D168" s="28" t="str">
        <f>IF('Data Sheet'!D168="","",'Data Sheet'!D168)</f>
        <v/>
      </c>
      <c r="E168" s="29" t="str">
        <f t="shared" si="33"/>
        <v>C</v>
      </c>
      <c r="F168" s="51">
        <v>0</v>
      </c>
      <c r="G168" s="49">
        <f t="shared" si="34"/>
        <v>0</v>
      </c>
      <c r="H168" s="49">
        <f t="shared" si="35"/>
        <v>0</v>
      </c>
      <c r="I168" s="49">
        <f t="shared" si="36"/>
        <v>0</v>
      </c>
      <c r="J168" s="49">
        <f t="shared" si="37"/>
        <v>0</v>
      </c>
      <c r="K168" s="49">
        <f t="shared" si="38"/>
        <v>0</v>
      </c>
      <c r="L168" s="49">
        <f t="shared" si="39"/>
        <v>0</v>
      </c>
      <c r="M168" s="49">
        <f t="shared" si="40"/>
        <v>0</v>
      </c>
      <c r="N168" s="29" t="str">
        <f t="shared" si="30"/>
        <v/>
      </c>
      <c r="O168" s="29">
        <f t="shared" si="31"/>
        <v>0</v>
      </c>
      <c r="P168" s="29">
        <f t="shared" si="32"/>
        <v>0</v>
      </c>
      <c r="Q168" s="29">
        <f>IF(A168&lt;&gt;"",SUM(F$2:F168),Q167)</f>
        <v>8</v>
      </c>
      <c r="R168" s="30">
        <f t="shared" si="41"/>
        <v>0</v>
      </c>
    </row>
    <row r="169" spans="1:18" x14ac:dyDescent="0.25">
      <c r="A169" s="27" t="str">
        <f>IF('Data Sheet'!A169="","",'Data Sheet'!A169)</f>
        <v/>
      </c>
      <c r="B169" s="28" t="str">
        <f>IF('Data Sheet'!B169="","",'Data Sheet'!B169)</f>
        <v/>
      </c>
      <c r="C169" s="28" t="str">
        <f>IF('Data Sheet'!C169="","",'Data Sheet'!C169)</f>
        <v/>
      </c>
      <c r="D169" s="28" t="str">
        <f>IF('Data Sheet'!D169="","",'Data Sheet'!D169)</f>
        <v/>
      </c>
      <c r="E169" s="29" t="str">
        <f t="shared" si="33"/>
        <v>C</v>
      </c>
      <c r="F169" s="51">
        <v>0</v>
      </c>
      <c r="G169" s="49">
        <f t="shared" si="34"/>
        <v>0</v>
      </c>
      <c r="H169" s="49">
        <f t="shared" si="35"/>
        <v>0</v>
      </c>
      <c r="I169" s="49">
        <f t="shared" si="36"/>
        <v>0</v>
      </c>
      <c r="J169" s="49">
        <f t="shared" si="37"/>
        <v>0</v>
      </c>
      <c r="K169" s="49">
        <f t="shared" si="38"/>
        <v>0</v>
      </c>
      <c r="L169" s="49">
        <f t="shared" si="39"/>
        <v>0</v>
      </c>
      <c r="M169" s="49">
        <f t="shared" si="40"/>
        <v>0</v>
      </c>
      <c r="N169" s="29" t="str">
        <f t="shared" si="30"/>
        <v/>
      </c>
      <c r="O169" s="29">
        <f t="shared" si="31"/>
        <v>0</v>
      </c>
      <c r="P169" s="29">
        <f t="shared" si="32"/>
        <v>0</v>
      </c>
      <c r="Q169" s="29">
        <f>IF(A169&lt;&gt;"",SUM(F$2:F169),Q168)</f>
        <v>8</v>
      </c>
      <c r="R169" s="30">
        <f t="shared" si="41"/>
        <v>0</v>
      </c>
    </row>
    <row r="170" spans="1:18" x14ac:dyDescent="0.25">
      <c r="A170" s="27" t="str">
        <f>IF('Data Sheet'!A170="","",'Data Sheet'!A170)</f>
        <v/>
      </c>
      <c r="B170" s="28" t="str">
        <f>IF('Data Sheet'!B170="","",'Data Sheet'!B170)</f>
        <v/>
      </c>
      <c r="C170" s="28" t="str">
        <f>IF('Data Sheet'!C170="","",'Data Sheet'!C170)</f>
        <v/>
      </c>
      <c r="D170" s="28" t="str">
        <f>IF('Data Sheet'!D170="","",'Data Sheet'!D170)</f>
        <v/>
      </c>
      <c r="E170" s="29" t="str">
        <f t="shared" si="33"/>
        <v>C</v>
      </c>
      <c r="F170" s="51">
        <v>0</v>
      </c>
      <c r="G170" s="49">
        <f t="shared" si="34"/>
        <v>0</v>
      </c>
      <c r="H170" s="49">
        <f t="shared" si="35"/>
        <v>0</v>
      </c>
      <c r="I170" s="49">
        <f t="shared" si="36"/>
        <v>0</v>
      </c>
      <c r="J170" s="49">
        <f t="shared" si="37"/>
        <v>0</v>
      </c>
      <c r="K170" s="49">
        <f t="shared" si="38"/>
        <v>0</v>
      </c>
      <c r="L170" s="49">
        <f t="shared" si="39"/>
        <v>0</v>
      </c>
      <c r="M170" s="49">
        <f t="shared" si="40"/>
        <v>0</v>
      </c>
      <c r="N170" s="29" t="str">
        <f t="shared" si="30"/>
        <v/>
      </c>
      <c r="O170" s="29">
        <f t="shared" si="31"/>
        <v>0</v>
      </c>
      <c r="P170" s="29">
        <f t="shared" si="32"/>
        <v>0</v>
      </c>
      <c r="Q170" s="29">
        <f>IF(A170&lt;&gt;"",SUM(F$2:F170),Q169)</f>
        <v>8</v>
      </c>
      <c r="R170" s="30">
        <f t="shared" si="41"/>
        <v>0</v>
      </c>
    </row>
    <row r="171" spans="1:18" x14ac:dyDescent="0.25">
      <c r="A171" s="27" t="str">
        <f>IF('Data Sheet'!A171="","",'Data Sheet'!A171)</f>
        <v/>
      </c>
      <c r="B171" s="28" t="str">
        <f>IF('Data Sheet'!B171="","",'Data Sheet'!B171)</f>
        <v/>
      </c>
      <c r="C171" s="28" t="str">
        <f>IF('Data Sheet'!C171="","",'Data Sheet'!C171)</f>
        <v/>
      </c>
      <c r="D171" s="28" t="str">
        <f>IF('Data Sheet'!D171="","",'Data Sheet'!D171)</f>
        <v/>
      </c>
      <c r="E171" s="29" t="str">
        <f t="shared" si="33"/>
        <v>C</v>
      </c>
      <c r="F171" s="51">
        <v>0</v>
      </c>
      <c r="G171" s="49">
        <f t="shared" si="34"/>
        <v>0</v>
      </c>
      <c r="H171" s="49">
        <f t="shared" si="35"/>
        <v>0</v>
      </c>
      <c r="I171" s="49">
        <f t="shared" si="36"/>
        <v>0</v>
      </c>
      <c r="J171" s="49">
        <f t="shared" si="37"/>
        <v>0</v>
      </c>
      <c r="K171" s="49">
        <f t="shared" si="38"/>
        <v>0</v>
      </c>
      <c r="L171" s="49">
        <f t="shared" si="39"/>
        <v>0</v>
      </c>
      <c r="M171" s="49">
        <f t="shared" si="40"/>
        <v>0</v>
      </c>
      <c r="N171" s="29" t="str">
        <f t="shared" si="30"/>
        <v/>
      </c>
      <c r="O171" s="29">
        <f t="shared" si="31"/>
        <v>0</v>
      </c>
      <c r="P171" s="29">
        <f t="shared" si="32"/>
        <v>0</v>
      </c>
      <c r="Q171" s="29">
        <f>IF(A171&lt;&gt;"",SUM(F$2:F171),Q170)</f>
        <v>8</v>
      </c>
      <c r="R171" s="30">
        <f t="shared" si="41"/>
        <v>0</v>
      </c>
    </row>
    <row r="172" spans="1:18" x14ac:dyDescent="0.25">
      <c r="A172" s="27" t="str">
        <f>IF('Data Sheet'!A172="","",'Data Sheet'!A172)</f>
        <v/>
      </c>
      <c r="B172" s="28" t="str">
        <f>IF('Data Sheet'!B172="","",'Data Sheet'!B172)</f>
        <v/>
      </c>
      <c r="C172" s="28" t="str">
        <f>IF('Data Sheet'!C172="","",'Data Sheet'!C172)</f>
        <v/>
      </c>
      <c r="D172" s="28" t="str">
        <f>IF('Data Sheet'!D172="","",'Data Sheet'!D172)</f>
        <v/>
      </c>
      <c r="E172" s="29" t="str">
        <f t="shared" si="33"/>
        <v>C</v>
      </c>
      <c r="F172" s="51">
        <v>0</v>
      </c>
      <c r="G172" s="49">
        <f t="shared" si="34"/>
        <v>0</v>
      </c>
      <c r="H172" s="49">
        <f t="shared" si="35"/>
        <v>0</v>
      </c>
      <c r="I172" s="49">
        <f t="shared" si="36"/>
        <v>0</v>
      </c>
      <c r="J172" s="49">
        <f t="shared" si="37"/>
        <v>0</v>
      </c>
      <c r="K172" s="49">
        <f t="shared" si="38"/>
        <v>0</v>
      </c>
      <c r="L172" s="49">
        <f t="shared" si="39"/>
        <v>0</v>
      </c>
      <c r="M172" s="49">
        <f t="shared" si="40"/>
        <v>0</v>
      </c>
      <c r="N172" s="29" t="str">
        <f t="shared" si="30"/>
        <v/>
      </c>
      <c r="O172" s="29">
        <f t="shared" si="31"/>
        <v>0</v>
      </c>
      <c r="P172" s="29">
        <f t="shared" si="32"/>
        <v>0</v>
      </c>
      <c r="Q172" s="29">
        <f>IF(A172&lt;&gt;"",SUM(F$2:F172),Q171)</f>
        <v>8</v>
      </c>
      <c r="R172" s="30">
        <f t="shared" si="41"/>
        <v>0</v>
      </c>
    </row>
    <row r="173" spans="1:18" x14ac:dyDescent="0.25">
      <c r="A173" s="27" t="str">
        <f>IF('Data Sheet'!A173="","",'Data Sheet'!A173)</f>
        <v/>
      </c>
      <c r="B173" s="28" t="str">
        <f>IF('Data Sheet'!B173="","",'Data Sheet'!B173)</f>
        <v/>
      </c>
      <c r="C173" s="28" t="str">
        <f>IF('Data Sheet'!C173="","",'Data Sheet'!C173)</f>
        <v/>
      </c>
      <c r="D173" s="28" t="str">
        <f>IF('Data Sheet'!D173="","",'Data Sheet'!D173)</f>
        <v/>
      </c>
      <c r="E173" s="29" t="str">
        <f t="shared" si="33"/>
        <v>C</v>
      </c>
      <c r="F173" s="51">
        <v>0</v>
      </c>
      <c r="G173" s="49">
        <f t="shared" si="34"/>
        <v>0</v>
      </c>
      <c r="H173" s="49">
        <f t="shared" si="35"/>
        <v>0</v>
      </c>
      <c r="I173" s="49">
        <f t="shared" si="36"/>
        <v>0</v>
      </c>
      <c r="J173" s="49">
        <f t="shared" si="37"/>
        <v>0</v>
      </c>
      <c r="K173" s="49">
        <f t="shared" si="38"/>
        <v>0</v>
      </c>
      <c r="L173" s="49">
        <f t="shared" si="39"/>
        <v>0</v>
      </c>
      <c r="M173" s="49">
        <f t="shared" si="40"/>
        <v>0</v>
      </c>
      <c r="N173" s="29" t="str">
        <f t="shared" si="30"/>
        <v/>
      </c>
      <c r="O173" s="29">
        <f t="shared" si="31"/>
        <v>0</v>
      </c>
      <c r="P173" s="29">
        <f t="shared" si="32"/>
        <v>0</v>
      </c>
      <c r="Q173" s="29">
        <f>IF(A173&lt;&gt;"",SUM(F$2:F173),Q172)</f>
        <v>8</v>
      </c>
      <c r="R173" s="30">
        <f t="shared" si="41"/>
        <v>0</v>
      </c>
    </row>
    <row r="174" spans="1:18" x14ac:dyDescent="0.25">
      <c r="A174" s="27" t="str">
        <f>IF('Data Sheet'!A174="","",'Data Sheet'!A174)</f>
        <v/>
      </c>
      <c r="B174" s="28" t="str">
        <f>IF('Data Sheet'!B174="","",'Data Sheet'!B174)</f>
        <v/>
      </c>
      <c r="C174" s="28" t="str">
        <f>IF('Data Sheet'!C174="","",'Data Sheet'!C174)</f>
        <v/>
      </c>
      <c r="D174" s="28" t="str">
        <f>IF('Data Sheet'!D174="","",'Data Sheet'!D174)</f>
        <v/>
      </c>
      <c r="E174" s="29" t="str">
        <f t="shared" si="33"/>
        <v>C</v>
      </c>
      <c r="F174" s="51">
        <v>0</v>
      </c>
      <c r="G174" s="49">
        <f t="shared" si="34"/>
        <v>0</v>
      </c>
      <c r="H174" s="49">
        <f t="shared" si="35"/>
        <v>0</v>
      </c>
      <c r="I174" s="49">
        <f t="shared" si="36"/>
        <v>0</v>
      </c>
      <c r="J174" s="49">
        <f t="shared" si="37"/>
        <v>0</v>
      </c>
      <c r="K174" s="49">
        <f t="shared" si="38"/>
        <v>0</v>
      </c>
      <c r="L174" s="49">
        <f t="shared" si="39"/>
        <v>0</v>
      </c>
      <c r="M174" s="49">
        <f t="shared" si="40"/>
        <v>0</v>
      </c>
      <c r="N174" s="29" t="str">
        <f t="shared" si="30"/>
        <v/>
      </c>
      <c r="O174" s="29">
        <f t="shared" si="31"/>
        <v>0</v>
      </c>
      <c r="P174" s="29">
        <f t="shared" si="32"/>
        <v>0</v>
      </c>
      <c r="Q174" s="29">
        <f>IF(A174&lt;&gt;"",SUM(F$2:F174),Q173)</f>
        <v>8</v>
      </c>
      <c r="R174" s="30">
        <f t="shared" si="41"/>
        <v>0</v>
      </c>
    </row>
    <row r="175" spans="1:18" x14ac:dyDescent="0.25">
      <c r="A175" s="27" t="str">
        <f>IF('Data Sheet'!A175="","",'Data Sheet'!A175)</f>
        <v/>
      </c>
      <c r="B175" s="28" t="str">
        <f>IF('Data Sheet'!B175="","",'Data Sheet'!B175)</f>
        <v/>
      </c>
      <c r="C175" s="28" t="str">
        <f>IF('Data Sheet'!C175="","",'Data Sheet'!C175)</f>
        <v/>
      </c>
      <c r="D175" s="28" t="str">
        <f>IF('Data Sheet'!D175="","",'Data Sheet'!D175)</f>
        <v/>
      </c>
      <c r="E175" s="29" t="str">
        <f t="shared" si="33"/>
        <v>C</v>
      </c>
      <c r="F175" s="51">
        <v>0</v>
      </c>
      <c r="G175" s="49">
        <f t="shared" si="34"/>
        <v>0</v>
      </c>
      <c r="H175" s="49">
        <f t="shared" si="35"/>
        <v>0</v>
      </c>
      <c r="I175" s="49">
        <f t="shared" si="36"/>
        <v>0</v>
      </c>
      <c r="J175" s="49">
        <f t="shared" si="37"/>
        <v>0</v>
      </c>
      <c r="K175" s="49">
        <f t="shared" si="38"/>
        <v>0</v>
      </c>
      <c r="L175" s="49">
        <f t="shared" si="39"/>
        <v>0</v>
      </c>
      <c r="M175" s="49">
        <f t="shared" si="40"/>
        <v>0</v>
      </c>
      <c r="N175" s="29" t="str">
        <f t="shared" si="30"/>
        <v/>
      </c>
      <c r="O175" s="29">
        <f t="shared" si="31"/>
        <v>0</v>
      </c>
      <c r="P175" s="29">
        <f t="shared" si="32"/>
        <v>0</v>
      </c>
      <c r="Q175" s="29">
        <f>IF(A175&lt;&gt;"",SUM(F$2:F175),Q174)</f>
        <v>8</v>
      </c>
      <c r="R175" s="30">
        <f t="shared" si="41"/>
        <v>0</v>
      </c>
    </row>
    <row r="176" spans="1:18" x14ac:dyDescent="0.25">
      <c r="A176" s="27" t="str">
        <f>IF('Data Sheet'!A176="","",'Data Sheet'!A176)</f>
        <v/>
      </c>
      <c r="B176" s="28" t="str">
        <f>IF('Data Sheet'!B176="","",'Data Sheet'!B176)</f>
        <v/>
      </c>
      <c r="C176" s="28" t="str">
        <f>IF('Data Sheet'!C176="","",'Data Sheet'!C176)</f>
        <v/>
      </c>
      <c r="D176" s="28" t="str">
        <f>IF('Data Sheet'!D176="","",'Data Sheet'!D176)</f>
        <v/>
      </c>
      <c r="E176" s="29" t="str">
        <f t="shared" si="33"/>
        <v>C</v>
      </c>
      <c r="F176" s="51">
        <v>0</v>
      </c>
      <c r="G176" s="49">
        <f t="shared" si="34"/>
        <v>0</v>
      </c>
      <c r="H176" s="49">
        <f t="shared" si="35"/>
        <v>0</v>
      </c>
      <c r="I176" s="49">
        <f t="shared" si="36"/>
        <v>0</v>
      </c>
      <c r="J176" s="49">
        <f t="shared" si="37"/>
        <v>0</v>
      </c>
      <c r="K176" s="49">
        <f t="shared" si="38"/>
        <v>0</v>
      </c>
      <c r="L176" s="49">
        <f t="shared" si="39"/>
        <v>0</v>
      </c>
      <c r="M176" s="49">
        <f t="shared" si="40"/>
        <v>0</v>
      </c>
      <c r="N176" s="29" t="str">
        <f t="shared" si="30"/>
        <v/>
      </c>
      <c r="O176" s="29">
        <f t="shared" si="31"/>
        <v>0</v>
      </c>
      <c r="P176" s="29">
        <f t="shared" si="32"/>
        <v>0</v>
      </c>
      <c r="Q176" s="29">
        <f>IF(A176&lt;&gt;"",SUM(F$2:F176),Q175)</f>
        <v>8</v>
      </c>
      <c r="R176" s="30">
        <f t="shared" si="41"/>
        <v>0</v>
      </c>
    </row>
    <row r="177" spans="1:18" x14ac:dyDescent="0.25">
      <c r="A177" s="27" t="str">
        <f>IF('Data Sheet'!A177="","",'Data Sheet'!A177)</f>
        <v/>
      </c>
      <c r="B177" s="28" t="str">
        <f>IF('Data Sheet'!B177="","",'Data Sheet'!B177)</f>
        <v/>
      </c>
      <c r="C177" s="28" t="str">
        <f>IF('Data Sheet'!C177="","",'Data Sheet'!C177)</f>
        <v/>
      </c>
      <c r="D177" s="28" t="str">
        <f>IF('Data Sheet'!D177="","",'Data Sheet'!D177)</f>
        <v/>
      </c>
      <c r="E177" s="29" t="str">
        <f t="shared" si="33"/>
        <v>C</v>
      </c>
      <c r="F177" s="51">
        <v>0</v>
      </c>
      <c r="G177" s="49">
        <f t="shared" si="34"/>
        <v>0</v>
      </c>
      <c r="H177" s="49">
        <f t="shared" si="35"/>
        <v>0</v>
      </c>
      <c r="I177" s="49">
        <f t="shared" si="36"/>
        <v>0</v>
      </c>
      <c r="J177" s="49">
        <f t="shared" si="37"/>
        <v>0</v>
      </c>
      <c r="K177" s="49">
        <f t="shared" si="38"/>
        <v>0</v>
      </c>
      <c r="L177" s="49">
        <f t="shared" si="39"/>
        <v>0</v>
      </c>
      <c r="M177" s="49">
        <f t="shared" si="40"/>
        <v>0</v>
      </c>
      <c r="N177" s="29" t="str">
        <f t="shared" si="30"/>
        <v/>
      </c>
      <c r="O177" s="29">
        <f t="shared" si="31"/>
        <v>0</v>
      </c>
      <c r="P177" s="29">
        <f t="shared" si="32"/>
        <v>0</v>
      </c>
      <c r="Q177" s="29">
        <f>IF(A177&lt;&gt;"",SUM(F$2:F177),Q176)</f>
        <v>8</v>
      </c>
      <c r="R177" s="30">
        <f t="shared" si="41"/>
        <v>0</v>
      </c>
    </row>
    <row r="178" spans="1:18" x14ac:dyDescent="0.25">
      <c r="A178" s="27" t="str">
        <f>IF('Data Sheet'!A178="","",'Data Sheet'!A178)</f>
        <v/>
      </c>
      <c r="B178" s="28" t="str">
        <f>IF('Data Sheet'!B178="","",'Data Sheet'!B178)</f>
        <v/>
      </c>
      <c r="C178" s="28" t="str">
        <f>IF('Data Sheet'!C178="","",'Data Sheet'!C178)</f>
        <v/>
      </c>
      <c r="D178" s="28" t="str">
        <f>IF('Data Sheet'!D178="","",'Data Sheet'!D178)</f>
        <v/>
      </c>
      <c r="E178" s="29" t="str">
        <f t="shared" si="33"/>
        <v>C</v>
      </c>
      <c r="F178" s="51">
        <v>0</v>
      </c>
      <c r="G178" s="49">
        <f t="shared" si="34"/>
        <v>0</v>
      </c>
      <c r="H178" s="49">
        <f t="shared" si="35"/>
        <v>0</v>
      </c>
      <c r="I178" s="49">
        <f t="shared" si="36"/>
        <v>0</v>
      </c>
      <c r="J178" s="49">
        <f t="shared" si="37"/>
        <v>0</v>
      </c>
      <c r="K178" s="49">
        <f t="shared" si="38"/>
        <v>0</v>
      </c>
      <c r="L178" s="49">
        <f t="shared" si="39"/>
        <v>0</v>
      </c>
      <c r="M178" s="49">
        <f t="shared" si="40"/>
        <v>0</v>
      </c>
      <c r="N178" s="29" t="str">
        <f t="shared" si="30"/>
        <v/>
      </c>
      <c r="O178" s="29">
        <f t="shared" si="31"/>
        <v>0</v>
      </c>
      <c r="P178" s="29">
        <f t="shared" si="32"/>
        <v>0</v>
      </c>
      <c r="Q178" s="29">
        <f>IF(A178&lt;&gt;"",SUM(F$2:F178),Q177)</f>
        <v>8</v>
      </c>
      <c r="R178" s="30">
        <f t="shared" si="41"/>
        <v>0</v>
      </c>
    </row>
    <row r="179" spans="1:18" x14ac:dyDescent="0.25">
      <c r="A179" s="27" t="str">
        <f>IF('Data Sheet'!A179="","",'Data Sheet'!A179)</f>
        <v/>
      </c>
      <c r="B179" s="28" t="str">
        <f>IF('Data Sheet'!B179="","",'Data Sheet'!B179)</f>
        <v/>
      </c>
      <c r="C179" s="28" t="str">
        <f>IF('Data Sheet'!C179="","",'Data Sheet'!C179)</f>
        <v/>
      </c>
      <c r="D179" s="28" t="str">
        <f>IF('Data Sheet'!D179="","",'Data Sheet'!D179)</f>
        <v/>
      </c>
      <c r="E179" s="29" t="str">
        <f t="shared" si="33"/>
        <v>C</v>
      </c>
      <c r="F179" s="51">
        <v>0</v>
      </c>
      <c r="G179" s="49">
        <f t="shared" si="34"/>
        <v>0</v>
      </c>
      <c r="H179" s="49">
        <f t="shared" si="35"/>
        <v>0</v>
      </c>
      <c r="I179" s="49">
        <f t="shared" si="36"/>
        <v>0</v>
      </c>
      <c r="J179" s="49">
        <f t="shared" si="37"/>
        <v>0</v>
      </c>
      <c r="K179" s="49">
        <f t="shared" si="38"/>
        <v>0</v>
      </c>
      <c r="L179" s="49">
        <f t="shared" si="39"/>
        <v>0</v>
      </c>
      <c r="M179" s="49">
        <f t="shared" si="40"/>
        <v>0</v>
      </c>
      <c r="N179" s="29" t="str">
        <f t="shared" si="30"/>
        <v/>
      </c>
      <c r="O179" s="29">
        <f t="shared" si="31"/>
        <v>0</v>
      </c>
      <c r="P179" s="29">
        <f t="shared" si="32"/>
        <v>0</v>
      </c>
      <c r="Q179" s="29">
        <f>IF(A179&lt;&gt;"",SUM(F$2:F179),Q178)</f>
        <v>8</v>
      </c>
      <c r="R179" s="30">
        <f t="shared" si="41"/>
        <v>0</v>
      </c>
    </row>
    <row r="180" spans="1:18" x14ac:dyDescent="0.25">
      <c r="A180" s="27" t="str">
        <f>IF('Data Sheet'!A180="","",'Data Sheet'!A180)</f>
        <v/>
      </c>
      <c r="B180" s="28" t="str">
        <f>IF('Data Sheet'!B180="","",'Data Sheet'!B180)</f>
        <v/>
      </c>
      <c r="C180" s="28" t="str">
        <f>IF('Data Sheet'!C180="","",'Data Sheet'!C180)</f>
        <v/>
      </c>
      <c r="D180" s="28" t="str">
        <f>IF('Data Sheet'!D180="","",'Data Sheet'!D180)</f>
        <v/>
      </c>
      <c r="E180" s="29" t="str">
        <f t="shared" si="33"/>
        <v>C</v>
      </c>
      <c r="F180" s="51">
        <v>0</v>
      </c>
      <c r="G180" s="49">
        <f t="shared" si="34"/>
        <v>0</v>
      </c>
      <c r="H180" s="49">
        <f t="shared" si="35"/>
        <v>0</v>
      </c>
      <c r="I180" s="49">
        <f t="shared" si="36"/>
        <v>0</v>
      </c>
      <c r="J180" s="49">
        <f t="shared" si="37"/>
        <v>0</v>
      </c>
      <c r="K180" s="49">
        <f t="shared" si="38"/>
        <v>0</v>
      </c>
      <c r="L180" s="49">
        <f t="shared" si="39"/>
        <v>0</v>
      </c>
      <c r="M180" s="49">
        <f t="shared" si="40"/>
        <v>0</v>
      </c>
      <c r="N180" s="29" t="str">
        <f t="shared" si="30"/>
        <v/>
      </c>
      <c r="O180" s="29">
        <f t="shared" si="31"/>
        <v>0</v>
      </c>
      <c r="P180" s="29">
        <f t="shared" si="32"/>
        <v>0</v>
      </c>
      <c r="Q180" s="29">
        <f>IF(A180&lt;&gt;"",SUM(F$2:F180),Q179)</f>
        <v>8</v>
      </c>
      <c r="R180" s="30">
        <f t="shared" si="41"/>
        <v>0</v>
      </c>
    </row>
    <row r="181" spans="1:18" x14ac:dyDescent="0.25">
      <c r="A181" s="27" t="str">
        <f>IF('Data Sheet'!A181="","",'Data Sheet'!A181)</f>
        <v/>
      </c>
      <c r="B181" s="28" t="str">
        <f>IF('Data Sheet'!B181="","",'Data Sheet'!B181)</f>
        <v/>
      </c>
      <c r="C181" s="28" t="str">
        <f>IF('Data Sheet'!C181="","",'Data Sheet'!C181)</f>
        <v/>
      </c>
      <c r="D181" s="28" t="str">
        <f>IF('Data Sheet'!D181="","",'Data Sheet'!D181)</f>
        <v/>
      </c>
      <c r="E181" s="29" t="str">
        <f t="shared" si="33"/>
        <v>C</v>
      </c>
      <c r="F181" s="51">
        <v>0</v>
      </c>
      <c r="G181" s="49">
        <f t="shared" si="34"/>
        <v>0</v>
      </c>
      <c r="H181" s="49">
        <f t="shared" si="35"/>
        <v>0</v>
      </c>
      <c r="I181" s="49">
        <f t="shared" si="36"/>
        <v>0</v>
      </c>
      <c r="J181" s="49">
        <f t="shared" si="37"/>
        <v>0</v>
      </c>
      <c r="K181" s="49">
        <f t="shared" si="38"/>
        <v>0</v>
      </c>
      <c r="L181" s="49">
        <f t="shared" si="39"/>
        <v>0</v>
      </c>
      <c r="M181" s="49">
        <f t="shared" si="40"/>
        <v>0</v>
      </c>
      <c r="N181" s="29" t="str">
        <f t="shared" si="30"/>
        <v/>
      </c>
      <c r="O181" s="29">
        <f t="shared" si="31"/>
        <v>0</v>
      </c>
      <c r="P181" s="29">
        <f t="shared" si="32"/>
        <v>0</v>
      </c>
      <c r="Q181" s="29">
        <f>IF(A181&lt;&gt;"",SUM(F$2:F181),Q180)</f>
        <v>8</v>
      </c>
      <c r="R181" s="30">
        <f t="shared" si="41"/>
        <v>0</v>
      </c>
    </row>
    <row r="182" spans="1:18" x14ac:dyDescent="0.25">
      <c r="A182" s="27" t="str">
        <f>IF('Data Sheet'!A182="","",'Data Sheet'!A182)</f>
        <v/>
      </c>
      <c r="B182" s="28" t="str">
        <f>IF('Data Sheet'!B182="","",'Data Sheet'!B182)</f>
        <v/>
      </c>
      <c r="C182" s="28" t="str">
        <f>IF('Data Sheet'!C182="","",'Data Sheet'!C182)</f>
        <v/>
      </c>
      <c r="D182" s="28" t="str">
        <f>IF('Data Sheet'!D182="","",'Data Sheet'!D182)</f>
        <v/>
      </c>
      <c r="E182" s="29" t="str">
        <f t="shared" si="33"/>
        <v>C</v>
      </c>
      <c r="F182" s="51">
        <v>0</v>
      </c>
      <c r="G182" s="49">
        <f t="shared" si="34"/>
        <v>0</v>
      </c>
      <c r="H182" s="49">
        <f t="shared" si="35"/>
        <v>0</v>
      </c>
      <c r="I182" s="49">
        <f t="shared" si="36"/>
        <v>0</v>
      </c>
      <c r="J182" s="49">
        <f t="shared" si="37"/>
        <v>0</v>
      </c>
      <c r="K182" s="49">
        <f t="shared" si="38"/>
        <v>0</v>
      </c>
      <c r="L182" s="49">
        <f t="shared" si="39"/>
        <v>0</v>
      </c>
      <c r="M182" s="49">
        <f t="shared" si="40"/>
        <v>0</v>
      </c>
      <c r="N182" s="29" t="str">
        <f t="shared" si="30"/>
        <v/>
      </c>
      <c r="O182" s="29">
        <f t="shared" si="31"/>
        <v>0</v>
      </c>
      <c r="P182" s="29">
        <f t="shared" si="32"/>
        <v>0</v>
      </c>
      <c r="Q182" s="29">
        <f>IF(A182&lt;&gt;"",SUM(F$2:F182),Q181)</f>
        <v>8</v>
      </c>
      <c r="R182" s="30">
        <f t="shared" si="41"/>
        <v>0</v>
      </c>
    </row>
    <row r="183" spans="1:18" x14ac:dyDescent="0.25">
      <c r="A183" s="27" t="str">
        <f>IF('Data Sheet'!A183="","",'Data Sheet'!A183)</f>
        <v/>
      </c>
      <c r="B183" s="28" t="str">
        <f>IF('Data Sheet'!B183="","",'Data Sheet'!B183)</f>
        <v/>
      </c>
      <c r="C183" s="28" t="str">
        <f>IF('Data Sheet'!C183="","",'Data Sheet'!C183)</f>
        <v/>
      </c>
      <c r="D183" s="28" t="str">
        <f>IF('Data Sheet'!D183="","",'Data Sheet'!D183)</f>
        <v/>
      </c>
      <c r="E183" s="29" t="str">
        <f t="shared" si="33"/>
        <v>C</v>
      </c>
      <c r="F183" s="51">
        <v>0</v>
      </c>
      <c r="G183" s="49">
        <f t="shared" si="34"/>
        <v>0</v>
      </c>
      <c r="H183" s="49">
        <f t="shared" si="35"/>
        <v>0</v>
      </c>
      <c r="I183" s="49">
        <f t="shared" si="36"/>
        <v>0</v>
      </c>
      <c r="J183" s="49">
        <f t="shared" si="37"/>
        <v>0</v>
      </c>
      <c r="K183" s="49">
        <f t="shared" si="38"/>
        <v>0</v>
      </c>
      <c r="L183" s="49">
        <f t="shared" si="39"/>
        <v>0</v>
      </c>
      <c r="M183" s="49">
        <f t="shared" si="40"/>
        <v>0</v>
      </c>
      <c r="N183" s="29" t="str">
        <f t="shared" si="30"/>
        <v/>
      </c>
      <c r="O183" s="29">
        <f t="shared" si="31"/>
        <v>0</v>
      </c>
      <c r="P183" s="29">
        <f t="shared" si="32"/>
        <v>0</v>
      </c>
      <c r="Q183" s="29">
        <f>IF(A183&lt;&gt;"",SUM(F$2:F183),Q182)</f>
        <v>8</v>
      </c>
      <c r="R183" s="30">
        <f t="shared" si="41"/>
        <v>0</v>
      </c>
    </row>
    <row r="184" spans="1:18" x14ac:dyDescent="0.25">
      <c r="A184" s="27" t="str">
        <f>IF('Data Sheet'!A184="","",'Data Sheet'!A184)</f>
        <v/>
      </c>
      <c r="B184" s="28" t="str">
        <f>IF('Data Sheet'!B184="","",'Data Sheet'!B184)</f>
        <v/>
      </c>
      <c r="C184" s="28" t="str">
        <f>IF('Data Sheet'!C184="","",'Data Sheet'!C184)</f>
        <v/>
      </c>
      <c r="D184" s="28" t="str">
        <f>IF('Data Sheet'!D184="","",'Data Sheet'!D184)</f>
        <v/>
      </c>
      <c r="E184" s="29" t="str">
        <f t="shared" si="33"/>
        <v>C</v>
      </c>
      <c r="F184" s="51">
        <v>0</v>
      </c>
      <c r="G184" s="49">
        <f t="shared" si="34"/>
        <v>0</v>
      </c>
      <c r="H184" s="49">
        <f t="shared" si="35"/>
        <v>0</v>
      </c>
      <c r="I184" s="49">
        <f t="shared" si="36"/>
        <v>0</v>
      </c>
      <c r="J184" s="49">
        <f t="shared" si="37"/>
        <v>0</v>
      </c>
      <c r="K184" s="49">
        <f t="shared" si="38"/>
        <v>0</v>
      </c>
      <c r="L184" s="49">
        <f t="shared" si="39"/>
        <v>0</v>
      </c>
      <c r="M184" s="49">
        <f t="shared" si="40"/>
        <v>0</v>
      </c>
      <c r="N184" s="29" t="str">
        <f t="shared" si="30"/>
        <v/>
      </c>
      <c r="O184" s="29">
        <f t="shared" si="31"/>
        <v>0</v>
      </c>
      <c r="P184" s="29">
        <f t="shared" si="32"/>
        <v>0</v>
      </c>
      <c r="Q184" s="29">
        <f>IF(A184&lt;&gt;"",SUM(F$2:F184),Q183)</f>
        <v>8</v>
      </c>
      <c r="R184" s="30">
        <f t="shared" si="41"/>
        <v>0</v>
      </c>
    </row>
    <row r="185" spans="1:18" x14ac:dyDescent="0.25">
      <c r="A185" s="27" t="str">
        <f>IF('Data Sheet'!A185="","",'Data Sheet'!A185)</f>
        <v/>
      </c>
      <c r="B185" s="28" t="str">
        <f>IF('Data Sheet'!B185="","",'Data Sheet'!B185)</f>
        <v/>
      </c>
      <c r="C185" s="28" t="str">
        <f>IF('Data Sheet'!C185="","",'Data Sheet'!C185)</f>
        <v/>
      </c>
      <c r="D185" s="28" t="str">
        <f>IF('Data Sheet'!D185="","",'Data Sheet'!D185)</f>
        <v/>
      </c>
      <c r="E185" s="29" t="str">
        <f t="shared" si="33"/>
        <v>C</v>
      </c>
      <c r="F185" s="51">
        <v>0</v>
      </c>
      <c r="G185" s="49">
        <f t="shared" si="34"/>
        <v>0</v>
      </c>
      <c r="H185" s="49">
        <f t="shared" si="35"/>
        <v>0</v>
      </c>
      <c r="I185" s="49">
        <f t="shared" si="36"/>
        <v>0</v>
      </c>
      <c r="J185" s="49">
        <f t="shared" si="37"/>
        <v>0</v>
      </c>
      <c r="K185" s="49">
        <f t="shared" si="38"/>
        <v>0</v>
      </c>
      <c r="L185" s="49">
        <f t="shared" si="39"/>
        <v>0</v>
      </c>
      <c r="M185" s="49">
        <f t="shared" si="40"/>
        <v>0</v>
      </c>
      <c r="N185" s="29" t="str">
        <f t="shared" si="30"/>
        <v/>
      </c>
      <c r="O185" s="29">
        <f t="shared" si="31"/>
        <v>0</v>
      </c>
      <c r="P185" s="29">
        <f t="shared" si="32"/>
        <v>0</v>
      </c>
      <c r="Q185" s="29">
        <f>IF(A185&lt;&gt;"",SUM(F$2:F185),Q184)</f>
        <v>8</v>
      </c>
      <c r="R185" s="30">
        <f t="shared" si="41"/>
        <v>0</v>
      </c>
    </row>
    <row r="186" spans="1:18" x14ac:dyDescent="0.25">
      <c r="A186" s="27" t="str">
        <f>IF('Data Sheet'!A186="","",'Data Sheet'!A186)</f>
        <v/>
      </c>
      <c r="B186" s="28" t="str">
        <f>IF('Data Sheet'!B186="","",'Data Sheet'!B186)</f>
        <v/>
      </c>
      <c r="C186" s="28" t="str">
        <f>IF('Data Sheet'!C186="","",'Data Sheet'!C186)</f>
        <v/>
      </c>
      <c r="D186" s="28" t="str">
        <f>IF('Data Sheet'!D186="","",'Data Sheet'!D186)</f>
        <v/>
      </c>
      <c r="E186" s="29" t="str">
        <f t="shared" si="33"/>
        <v>C</v>
      </c>
      <c r="F186" s="51">
        <v>0</v>
      </c>
      <c r="G186" s="49">
        <f t="shared" si="34"/>
        <v>0</v>
      </c>
      <c r="H186" s="49">
        <f t="shared" si="35"/>
        <v>0</v>
      </c>
      <c r="I186" s="49">
        <f t="shared" si="36"/>
        <v>0</v>
      </c>
      <c r="J186" s="49">
        <f t="shared" si="37"/>
        <v>0</v>
      </c>
      <c r="K186" s="49">
        <f t="shared" si="38"/>
        <v>0</v>
      </c>
      <c r="L186" s="49">
        <f t="shared" si="39"/>
        <v>0</v>
      </c>
      <c r="M186" s="49">
        <f t="shared" si="40"/>
        <v>0</v>
      </c>
      <c r="N186" s="29" t="str">
        <f t="shared" si="30"/>
        <v/>
      </c>
      <c r="O186" s="29">
        <f t="shared" si="31"/>
        <v>0</v>
      </c>
      <c r="P186" s="29">
        <f t="shared" si="32"/>
        <v>0</v>
      </c>
      <c r="Q186" s="29">
        <f>IF(A186&lt;&gt;"",SUM(F$2:F186),Q185)</f>
        <v>8</v>
      </c>
      <c r="R186" s="30">
        <f t="shared" si="41"/>
        <v>0</v>
      </c>
    </row>
    <row r="187" spans="1:18" x14ac:dyDescent="0.25">
      <c r="A187" s="27" t="str">
        <f>IF('Data Sheet'!A187="","",'Data Sheet'!A187)</f>
        <v/>
      </c>
      <c r="B187" s="28" t="str">
        <f>IF('Data Sheet'!B187="","",'Data Sheet'!B187)</f>
        <v/>
      </c>
      <c r="C187" s="28" t="str">
        <f>IF('Data Sheet'!C187="","",'Data Sheet'!C187)</f>
        <v/>
      </c>
      <c r="D187" s="28" t="str">
        <f>IF('Data Sheet'!D187="","",'Data Sheet'!D187)</f>
        <v/>
      </c>
      <c r="E187" s="29" t="str">
        <f t="shared" si="33"/>
        <v>C</v>
      </c>
      <c r="F187" s="51">
        <v>0</v>
      </c>
      <c r="G187" s="49">
        <f t="shared" si="34"/>
        <v>0</v>
      </c>
      <c r="H187" s="49">
        <f t="shared" si="35"/>
        <v>0</v>
      </c>
      <c r="I187" s="49">
        <f t="shared" si="36"/>
        <v>0</v>
      </c>
      <c r="J187" s="49">
        <f t="shared" si="37"/>
        <v>0</v>
      </c>
      <c r="K187" s="49">
        <f t="shared" si="38"/>
        <v>0</v>
      </c>
      <c r="L187" s="49">
        <f t="shared" si="39"/>
        <v>0</v>
      </c>
      <c r="M187" s="49">
        <f t="shared" si="40"/>
        <v>0</v>
      </c>
      <c r="N187" s="29" t="str">
        <f t="shared" si="30"/>
        <v/>
      </c>
      <c r="O187" s="29">
        <f t="shared" si="31"/>
        <v>0</v>
      </c>
      <c r="P187" s="29">
        <f t="shared" si="32"/>
        <v>0</v>
      </c>
      <c r="Q187" s="29">
        <f>IF(A187&lt;&gt;"",SUM(F$2:F187),Q186)</f>
        <v>8</v>
      </c>
      <c r="R187" s="30">
        <f t="shared" si="41"/>
        <v>0</v>
      </c>
    </row>
    <row r="188" spans="1:18" x14ac:dyDescent="0.25">
      <c r="A188" s="27" t="str">
        <f>IF('Data Sheet'!A188="","",'Data Sheet'!A188)</f>
        <v/>
      </c>
      <c r="B188" s="28" t="str">
        <f>IF('Data Sheet'!B188="","",'Data Sheet'!B188)</f>
        <v/>
      </c>
      <c r="C188" s="28" t="str">
        <f>IF('Data Sheet'!C188="","",'Data Sheet'!C188)</f>
        <v/>
      </c>
      <c r="D188" s="28" t="str">
        <f>IF('Data Sheet'!D188="","",'Data Sheet'!D188)</f>
        <v/>
      </c>
      <c r="E188" s="29" t="str">
        <f t="shared" si="33"/>
        <v>C</v>
      </c>
      <c r="F188" s="51">
        <v>0</v>
      </c>
      <c r="G188" s="49">
        <f t="shared" si="34"/>
        <v>0</v>
      </c>
      <c r="H188" s="49">
        <f t="shared" si="35"/>
        <v>0</v>
      </c>
      <c r="I188" s="49">
        <f t="shared" si="36"/>
        <v>0</v>
      </c>
      <c r="J188" s="49">
        <f t="shared" si="37"/>
        <v>0</v>
      </c>
      <c r="K188" s="49">
        <f t="shared" si="38"/>
        <v>0</v>
      </c>
      <c r="L188" s="49">
        <f t="shared" si="39"/>
        <v>0</v>
      </c>
      <c r="M188" s="49">
        <f t="shared" si="40"/>
        <v>0</v>
      </c>
      <c r="N188" s="29" t="str">
        <f t="shared" si="30"/>
        <v/>
      </c>
      <c r="O188" s="29">
        <f t="shared" si="31"/>
        <v>0</v>
      </c>
      <c r="P188" s="29">
        <f t="shared" si="32"/>
        <v>0</v>
      </c>
      <c r="Q188" s="29">
        <f>IF(A188&lt;&gt;"",SUM(F$2:F188),Q187)</f>
        <v>8</v>
      </c>
      <c r="R188" s="30">
        <f t="shared" si="41"/>
        <v>0</v>
      </c>
    </row>
    <row r="189" spans="1:18" x14ac:dyDescent="0.25">
      <c r="A189" s="27" t="str">
        <f>IF('Data Sheet'!A189="","",'Data Sheet'!A189)</f>
        <v/>
      </c>
      <c r="B189" s="28" t="str">
        <f>IF('Data Sheet'!B189="","",'Data Sheet'!B189)</f>
        <v/>
      </c>
      <c r="C189" s="28" t="str">
        <f>IF('Data Sheet'!C189="","",'Data Sheet'!C189)</f>
        <v/>
      </c>
      <c r="D189" s="28" t="str">
        <f>IF('Data Sheet'!D189="","",'Data Sheet'!D189)</f>
        <v/>
      </c>
      <c r="E189" s="29" t="str">
        <f t="shared" si="33"/>
        <v>C</v>
      </c>
      <c r="F189" s="51">
        <v>0</v>
      </c>
      <c r="G189" s="49">
        <f t="shared" si="34"/>
        <v>0</v>
      </c>
      <c r="H189" s="49">
        <f t="shared" si="35"/>
        <v>0</v>
      </c>
      <c r="I189" s="49">
        <f t="shared" si="36"/>
        <v>0</v>
      </c>
      <c r="J189" s="49">
        <f t="shared" si="37"/>
        <v>0</v>
      </c>
      <c r="K189" s="49">
        <f t="shared" si="38"/>
        <v>0</v>
      </c>
      <c r="L189" s="49">
        <f t="shared" si="39"/>
        <v>0</v>
      </c>
      <c r="M189" s="49">
        <f t="shared" si="40"/>
        <v>0</v>
      </c>
      <c r="N189" s="29" t="str">
        <f t="shared" si="30"/>
        <v/>
      </c>
      <c r="O189" s="29">
        <f t="shared" si="31"/>
        <v>0</v>
      </c>
      <c r="P189" s="29">
        <f t="shared" si="32"/>
        <v>0</v>
      </c>
      <c r="Q189" s="29">
        <f>IF(A189&lt;&gt;"",SUM(F$2:F189),Q188)</f>
        <v>8</v>
      </c>
      <c r="R189" s="30">
        <f t="shared" si="41"/>
        <v>0</v>
      </c>
    </row>
    <row r="190" spans="1:18" x14ac:dyDescent="0.25">
      <c r="A190" s="27" t="str">
        <f>IF('Data Sheet'!A190="","",'Data Sheet'!A190)</f>
        <v/>
      </c>
      <c r="B190" s="28" t="str">
        <f>IF('Data Sheet'!B190="","",'Data Sheet'!B190)</f>
        <v/>
      </c>
      <c r="C190" s="28" t="str">
        <f>IF('Data Sheet'!C190="","",'Data Sheet'!C190)</f>
        <v/>
      </c>
      <c r="D190" s="28" t="str">
        <f>IF('Data Sheet'!D190="","",'Data Sheet'!D190)</f>
        <v/>
      </c>
      <c r="E190" s="29" t="str">
        <f t="shared" si="33"/>
        <v>C</v>
      </c>
      <c r="F190" s="51">
        <v>0</v>
      </c>
      <c r="G190" s="49">
        <f t="shared" si="34"/>
        <v>0</v>
      </c>
      <c r="H190" s="49">
        <f t="shared" si="35"/>
        <v>0</v>
      </c>
      <c r="I190" s="49">
        <f t="shared" si="36"/>
        <v>0</v>
      </c>
      <c r="J190" s="49">
        <f t="shared" si="37"/>
        <v>0</v>
      </c>
      <c r="K190" s="49">
        <f t="shared" si="38"/>
        <v>0</v>
      </c>
      <c r="L190" s="49">
        <f t="shared" si="39"/>
        <v>0</v>
      </c>
      <c r="M190" s="49">
        <f t="shared" si="40"/>
        <v>0</v>
      </c>
      <c r="N190" s="29" t="str">
        <f t="shared" si="30"/>
        <v/>
      </c>
      <c r="O190" s="29">
        <f t="shared" si="31"/>
        <v>0</v>
      </c>
      <c r="P190" s="29">
        <f t="shared" si="32"/>
        <v>0</v>
      </c>
      <c r="Q190" s="29">
        <f>IF(A190&lt;&gt;"",SUM(F$2:F190),Q189)</f>
        <v>8</v>
      </c>
      <c r="R190" s="30">
        <f t="shared" si="41"/>
        <v>0</v>
      </c>
    </row>
    <row r="191" spans="1:18" x14ac:dyDescent="0.25">
      <c r="A191" s="27" t="str">
        <f>IF('Data Sheet'!A191="","",'Data Sheet'!A191)</f>
        <v/>
      </c>
      <c r="B191" s="28" t="str">
        <f>IF('Data Sheet'!B191="","",'Data Sheet'!B191)</f>
        <v/>
      </c>
      <c r="C191" s="28" t="str">
        <f>IF('Data Sheet'!C191="","",'Data Sheet'!C191)</f>
        <v/>
      </c>
      <c r="D191" s="28" t="str">
        <f>IF('Data Sheet'!D191="","",'Data Sheet'!D191)</f>
        <v/>
      </c>
      <c r="E191" s="29" t="str">
        <f t="shared" si="33"/>
        <v>C</v>
      </c>
      <c r="F191" s="51">
        <v>0</v>
      </c>
      <c r="G191" s="49">
        <f t="shared" si="34"/>
        <v>0</v>
      </c>
      <c r="H191" s="49">
        <f t="shared" si="35"/>
        <v>0</v>
      </c>
      <c r="I191" s="49">
        <f t="shared" si="36"/>
        <v>0</v>
      </c>
      <c r="J191" s="49">
        <f t="shared" si="37"/>
        <v>0</v>
      </c>
      <c r="K191" s="49">
        <f t="shared" si="38"/>
        <v>0</v>
      </c>
      <c r="L191" s="49">
        <f t="shared" si="39"/>
        <v>0</v>
      </c>
      <c r="M191" s="49">
        <f t="shared" si="40"/>
        <v>0</v>
      </c>
      <c r="N191" s="29" t="str">
        <f t="shared" si="30"/>
        <v/>
      </c>
      <c r="O191" s="29">
        <f t="shared" si="31"/>
        <v>0</v>
      </c>
      <c r="P191" s="29">
        <f t="shared" si="32"/>
        <v>0</v>
      </c>
      <c r="Q191" s="29">
        <f>IF(A191&lt;&gt;"",SUM(F$2:F191),Q190)</f>
        <v>8</v>
      </c>
      <c r="R191" s="30">
        <f t="shared" si="41"/>
        <v>0</v>
      </c>
    </row>
    <row r="192" spans="1:18" x14ac:dyDescent="0.25">
      <c r="A192" s="27" t="str">
        <f>IF('Data Sheet'!A192="","",'Data Sheet'!A192)</f>
        <v/>
      </c>
      <c r="B192" s="28" t="str">
        <f>IF('Data Sheet'!B192="","",'Data Sheet'!B192)</f>
        <v/>
      </c>
      <c r="C192" s="28" t="str">
        <f>IF('Data Sheet'!C192="","",'Data Sheet'!C192)</f>
        <v/>
      </c>
      <c r="D192" s="28" t="str">
        <f>IF('Data Sheet'!D192="","",'Data Sheet'!D192)</f>
        <v/>
      </c>
      <c r="E192" s="29" t="str">
        <f t="shared" si="33"/>
        <v>C</v>
      </c>
      <c r="F192" s="51">
        <v>0</v>
      </c>
      <c r="G192" s="49">
        <f t="shared" si="34"/>
        <v>0</v>
      </c>
      <c r="H192" s="49">
        <f t="shared" si="35"/>
        <v>0</v>
      </c>
      <c r="I192" s="49">
        <f t="shared" si="36"/>
        <v>0</v>
      </c>
      <c r="J192" s="49">
        <f t="shared" si="37"/>
        <v>0</v>
      </c>
      <c r="K192" s="49">
        <f t="shared" si="38"/>
        <v>0</v>
      </c>
      <c r="L192" s="49">
        <f t="shared" si="39"/>
        <v>0</v>
      </c>
      <c r="M192" s="49">
        <f t="shared" si="40"/>
        <v>0</v>
      </c>
      <c r="N192" s="29" t="str">
        <f t="shared" si="30"/>
        <v/>
      </c>
      <c r="O192" s="29">
        <f t="shared" si="31"/>
        <v>0</v>
      </c>
      <c r="P192" s="29">
        <f t="shared" si="32"/>
        <v>0</v>
      </c>
      <c r="Q192" s="29">
        <f>IF(A192&lt;&gt;"",SUM(F$2:F192),Q191)</f>
        <v>8</v>
      </c>
      <c r="R192" s="30">
        <f t="shared" si="41"/>
        <v>0</v>
      </c>
    </row>
    <row r="193" spans="1:18" x14ac:dyDescent="0.25">
      <c r="A193" s="27" t="str">
        <f>IF('Data Sheet'!A193="","",'Data Sheet'!A193)</f>
        <v/>
      </c>
      <c r="B193" s="28" t="str">
        <f>IF('Data Sheet'!B193="","",'Data Sheet'!B193)</f>
        <v/>
      </c>
      <c r="C193" s="28" t="str">
        <f>IF('Data Sheet'!C193="","",'Data Sheet'!C193)</f>
        <v/>
      </c>
      <c r="D193" s="28" t="str">
        <f>IF('Data Sheet'!D193="","",'Data Sheet'!D193)</f>
        <v/>
      </c>
      <c r="E193" s="29" t="str">
        <f t="shared" si="33"/>
        <v>C</v>
      </c>
      <c r="F193" s="51">
        <v>0</v>
      </c>
      <c r="G193" s="49">
        <f t="shared" si="34"/>
        <v>0</v>
      </c>
      <c r="H193" s="49">
        <f t="shared" si="35"/>
        <v>0</v>
      </c>
      <c r="I193" s="49">
        <f t="shared" si="36"/>
        <v>0</v>
      </c>
      <c r="J193" s="49">
        <f t="shared" si="37"/>
        <v>0</v>
      </c>
      <c r="K193" s="49">
        <f t="shared" si="38"/>
        <v>0</v>
      </c>
      <c r="L193" s="49">
        <f t="shared" si="39"/>
        <v>0</v>
      </c>
      <c r="M193" s="49">
        <f t="shared" si="40"/>
        <v>0</v>
      </c>
      <c r="N193" s="29" t="str">
        <f t="shared" si="30"/>
        <v/>
      </c>
      <c r="O193" s="29">
        <f t="shared" si="31"/>
        <v>0</v>
      </c>
      <c r="P193" s="29">
        <f t="shared" si="32"/>
        <v>0</v>
      </c>
      <c r="Q193" s="29">
        <f>IF(A193&lt;&gt;"",SUM(F$2:F193),Q192)</f>
        <v>8</v>
      </c>
      <c r="R193" s="30">
        <f t="shared" si="41"/>
        <v>0</v>
      </c>
    </row>
    <row r="194" spans="1:18" x14ac:dyDescent="0.25">
      <c r="A194" s="27" t="str">
        <f>IF('Data Sheet'!A194="","",'Data Sheet'!A194)</f>
        <v/>
      </c>
      <c r="B194" s="28" t="str">
        <f>IF('Data Sheet'!B194="","",'Data Sheet'!B194)</f>
        <v/>
      </c>
      <c r="C194" s="28" t="str">
        <f>IF('Data Sheet'!C194="","",'Data Sheet'!C194)</f>
        <v/>
      </c>
      <c r="D194" s="28" t="str">
        <f>IF('Data Sheet'!D194="","",'Data Sheet'!D194)</f>
        <v/>
      </c>
      <c r="E194" s="29" t="str">
        <f t="shared" si="33"/>
        <v>C</v>
      </c>
      <c r="F194" s="51">
        <v>0</v>
      </c>
      <c r="G194" s="49">
        <f t="shared" si="34"/>
        <v>0</v>
      </c>
      <c r="H194" s="49">
        <f t="shared" si="35"/>
        <v>0</v>
      </c>
      <c r="I194" s="49">
        <f t="shared" si="36"/>
        <v>0</v>
      </c>
      <c r="J194" s="49">
        <f t="shared" si="37"/>
        <v>0</v>
      </c>
      <c r="K194" s="49">
        <f t="shared" si="38"/>
        <v>0</v>
      </c>
      <c r="L194" s="49">
        <f t="shared" si="39"/>
        <v>0</v>
      </c>
      <c r="M194" s="49">
        <f t="shared" si="40"/>
        <v>0</v>
      </c>
      <c r="N194" s="29" t="str">
        <f t="shared" ref="N194:N257" si="42">IFERROR(VLOOKUP(B194,$U$16:$U$23,1,FALSE), "")</f>
        <v/>
      </c>
      <c r="O194" s="29">
        <f t="shared" ref="O194:O257" si="43">IF(A194="",0,IF(N194="",D194,D194*10))</f>
        <v>0</v>
      </c>
      <c r="P194" s="29">
        <f t="shared" ref="P194:P257" si="44">O194*F194</f>
        <v>0</v>
      </c>
      <c r="Q194" s="29">
        <f>IF(A194&lt;&gt;"",SUM(F$2:F194),Q193)</f>
        <v>8</v>
      </c>
      <c r="R194" s="30">
        <f t="shared" si="41"/>
        <v>0</v>
      </c>
    </row>
    <row r="195" spans="1:18" x14ac:dyDescent="0.25">
      <c r="A195" s="27" t="str">
        <f>IF('Data Sheet'!A195="","",'Data Sheet'!A195)</f>
        <v/>
      </c>
      <c r="B195" s="28" t="str">
        <f>IF('Data Sheet'!B195="","",'Data Sheet'!B195)</f>
        <v/>
      </c>
      <c r="C195" s="28" t="str">
        <f>IF('Data Sheet'!C195="","",'Data Sheet'!C195)</f>
        <v/>
      </c>
      <c r="D195" s="28" t="str">
        <f>IF('Data Sheet'!D195="","",'Data Sheet'!D195)</f>
        <v/>
      </c>
      <c r="E195" s="29" t="str">
        <f t="shared" ref="E195:E258" si="45">IF(OR(A195="SF",A195="PF"),"F",IF(OR(A195="SG",A195="PG"),"G","C"))</f>
        <v>C</v>
      </c>
      <c r="F195" s="51">
        <v>0</v>
      </c>
      <c r="G195" s="49">
        <f t="shared" ref="G195:G258" si="46">IF(A195="SF",1,0)</f>
        <v>0</v>
      </c>
      <c r="H195" s="49">
        <f t="shared" ref="H195:H258" si="47">IF(A195="SG",1,0)</f>
        <v>0</v>
      </c>
      <c r="I195" s="49">
        <f t="shared" ref="I195:I258" si="48">IF(A195="C",1,0)</f>
        <v>0</v>
      </c>
      <c r="J195" s="49">
        <f t="shared" ref="J195:J258" si="49">IF(A195="PG",1,0)</f>
        <v>0</v>
      </c>
      <c r="K195" s="49">
        <f t="shared" ref="K195:K258" si="50">IF(A195="PF",1,0)</f>
        <v>0</v>
      </c>
      <c r="L195" s="49">
        <f t="shared" ref="L195:L258" si="51">IF(E195="G",1,0)</f>
        <v>0</v>
      </c>
      <c r="M195" s="49">
        <f t="shared" ref="M195:M258" si="52">IF(E195="F",1,0)</f>
        <v>0</v>
      </c>
      <c r="N195" s="29" t="str">
        <f t="shared" si="42"/>
        <v/>
      </c>
      <c r="O195" s="29">
        <f t="shared" si="43"/>
        <v>0</v>
      </c>
      <c r="P195" s="29">
        <f t="shared" si="44"/>
        <v>0</v>
      </c>
      <c r="Q195" s="29">
        <f>IF(A195&lt;&gt;"",SUM(F$2:F195),Q194)</f>
        <v>8</v>
      </c>
      <c r="R195" s="30">
        <f t="shared" si="41"/>
        <v>0</v>
      </c>
    </row>
    <row r="196" spans="1:18" x14ac:dyDescent="0.25">
      <c r="A196" s="27" t="str">
        <f>IF('Data Sheet'!A196="","",'Data Sheet'!A196)</f>
        <v/>
      </c>
      <c r="B196" s="28" t="str">
        <f>IF('Data Sheet'!B196="","",'Data Sheet'!B196)</f>
        <v/>
      </c>
      <c r="C196" s="28" t="str">
        <f>IF('Data Sheet'!C196="","",'Data Sheet'!C196)</f>
        <v/>
      </c>
      <c r="D196" s="28" t="str">
        <f>IF('Data Sheet'!D196="","",'Data Sheet'!D196)</f>
        <v/>
      </c>
      <c r="E196" s="29" t="str">
        <f t="shared" si="45"/>
        <v>C</v>
      </c>
      <c r="F196" s="51">
        <v>0</v>
      </c>
      <c r="G196" s="49">
        <f t="shared" si="46"/>
        <v>0</v>
      </c>
      <c r="H196" s="49">
        <f t="shared" si="47"/>
        <v>0</v>
      </c>
      <c r="I196" s="49">
        <f t="shared" si="48"/>
        <v>0</v>
      </c>
      <c r="J196" s="49">
        <f t="shared" si="49"/>
        <v>0</v>
      </c>
      <c r="K196" s="49">
        <f t="shared" si="50"/>
        <v>0</v>
      </c>
      <c r="L196" s="49">
        <f t="shared" si="51"/>
        <v>0</v>
      </c>
      <c r="M196" s="49">
        <f t="shared" si="52"/>
        <v>0</v>
      </c>
      <c r="N196" s="29" t="str">
        <f t="shared" si="42"/>
        <v/>
      </c>
      <c r="O196" s="29">
        <f t="shared" si="43"/>
        <v>0</v>
      </c>
      <c r="P196" s="29">
        <f t="shared" si="44"/>
        <v>0</v>
      </c>
      <c r="Q196" s="29">
        <f>IF(A196&lt;&gt;"",SUM(F$2:F196),Q195)</f>
        <v>8</v>
      </c>
      <c r="R196" s="30">
        <f t="shared" ref="R196:R259" si="53">IF(Q196=Q195,0,Q196)</f>
        <v>0</v>
      </c>
    </row>
    <row r="197" spans="1:18" x14ac:dyDescent="0.25">
      <c r="A197" s="27" t="str">
        <f>IF('Data Sheet'!A197="","",'Data Sheet'!A197)</f>
        <v/>
      </c>
      <c r="B197" s="28" t="str">
        <f>IF('Data Sheet'!B197="","",'Data Sheet'!B197)</f>
        <v/>
      </c>
      <c r="C197" s="28" t="str">
        <f>IF('Data Sheet'!C197="","",'Data Sheet'!C197)</f>
        <v/>
      </c>
      <c r="D197" s="28" t="str">
        <f>IF('Data Sheet'!D197="","",'Data Sheet'!D197)</f>
        <v/>
      </c>
      <c r="E197" s="29" t="str">
        <f t="shared" si="45"/>
        <v>C</v>
      </c>
      <c r="F197" s="51">
        <v>0</v>
      </c>
      <c r="G197" s="49">
        <f t="shared" si="46"/>
        <v>0</v>
      </c>
      <c r="H197" s="49">
        <f t="shared" si="47"/>
        <v>0</v>
      </c>
      <c r="I197" s="49">
        <f t="shared" si="48"/>
        <v>0</v>
      </c>
      <c r="J197" s="49">
        <f t="shared" si="49"/>
        <v>0</v>
      </c>
      <c r="K197" s="49">
        <f t="shared" si="50"/>
        <v>0</v>
      </c>
      <c r="L197" s="49">
        <f t="shared" si="51"/>
        <v>0</v>
      </c>
      <c r="M197" s="49">
        <f t="shared" si="52"/>
        <v>0</v>
      </c>
      <c r="N197" s="29" t="str">
        <f t="shared" si="42"/>
        <v/>
      </c>
      <c r="O197" s="29">
        <f t="shared" si="43"/>
        <v>0</v>
      </c>
      <c r="P197" s="29">
        <f t="shared" si="44"/>
        <v>0</v>
      </c>
      <c r="Q197" s="29">
        <f>IF(A197&lt;&gt;"",SUM(F$2:F197),Q196)</f>
        <v>8</v>
      </c>
      <c r="R197" s="30">
        <f t="shared" si="53"/>
        <v>0</v>
      </c>
    </row>
    <row r="198" spans="1:18" x14ac:dyDescent="0.25">
      <c r="A198" s="27" t="str">
        <f>IF('Data Sheet'!A198="","",'Data Sheet'!A198)</f>
        <v/>
      </c>
      <c r="B198" s="28" t="str">
        <f>IF('Data Sheet'!B198="","",'Data Sheet'!B198)</f>
        <v/>
      </c>
      <c r="C198" s="28" t="str">
        <f>IF('Data Sheet'!C198="","",'Data Sheet'!C198)</f>
        <v/>
      </c>
      <c r="D198" s="28" t="str">
        <f>IF('Data Sheet'!D198="","",'Data Sheet'!D198)</f>
        <v/>
      </c>
      <c r="E198" s="29" t="str">
        <f t="shared" si="45"/>
        <v>C</v>
      </c>
      <c r="F198" s="51">
        <v>0</v>
      </c>
      <c r="G198" s="49">
        <f t="shared" si="46"/>
        <v>0</v>
      </c>
      <c r="H198" s="49">
        <f t="shared" si="47"/>
        <v>0</v>
      </c>
      <c r="I198" s="49">
        <f t="shared" si="48"/>
        <v>0</v>
      </c>
      <c r="J198" s="49">
        <f t="shared" si="49"/>
        <v>0</v>
      </c>
      <c r="K198" s="49">
        <f t="shared" si="50"/>
        <v>0</v>
      </c>
      <c r="L198" s="49">
        <f t="shared" si="51"/>
        <v>0</v>
      </c>
      <c r="M198" s="49">
        <f t="shared" si="52"/>
        <v>0</v>
      </c>
      <c r="N198" s="29" t="str">
        <f t="shared" si="42"/>
        <v/>
      </c>
      <c r="O198" s="29">
        <f t="shared" si="43"/>
        <v>0</v>
      </c>
      <c r="P198" s="29">
        <f t="shared" si="44"/>
        <v>0</v>
      </c>
      <c r="Q198" s="29">
        <f>IF(A198&lt;&gt;"",SUM(F$2:F198),Q197)</f>
        <v>8</v>
      </c>
      <c r="R198" s="30">
        <f t="shared" si="53"/>
        <v>0</v>
      </c>
    </row>
    <row r="199" spans="1:18" x14ac:dyDescent="0.25">
      <c r="A199" s="27" t="str">
        <f>IF('Data Sheet'!A199="","",'Data Sheet'!A199)</f>
        <v/>
      </c>
      <c r="B199" s="28" t="str">
        <f>IF('Data Sheet'!B199="","",'Data Sheet'!B199)</f>
        <v/>
      </c>
      <c r="C199" s="28" t="str">
        <f>IF('Data Sheet'!C199="","",'Data Sheet'!C199)</f>
        <v/>
      </c>
      <c r="D199" s="28" t="str">
        <f>IF('Data Sheet'!D199="","",'Data Sheet'!D199)</f>
        <v/>
      </c>
      <c r="E199" s="29" t="str">
        <f t="shared" si="45"/>
        <v>C</v>
      </c>
      <c r="F199" s="51">
        <v>0</v>
      </c>
      <c r="G199" s="49">
        <f t="shared" si="46"/>
        <v>0</v>
      </c>
      <c r="H199" s="49">
        <f t="shared" si="47"/>
        <v>0</v>
      </c>
      <c r="I199" s="49">
        <f t="shared" si="48"/>
        <v>0</v>
      </c>
      <c r="J199" s="49">
        <f t="shared" si="49"/>
        <v>0</v>
      </c>
      <c r="K199" s="49">
        <f t="shared" si="50"/>
        <v>0</v>
      </c>
      <c r="L199" s="49">
        <f t="shared" si="51"/>
        <v>0</v>
      </c>
      <c r="M199" s="49">
        <f t="shared" si="52"/>
        <v>0</v>
      </c>
      <c r="N199" s="29" t="str">
        <f t="shared" si="42"/>
        <v/>
      </c>
      <c r="O199" s="29">
        <f t="shared" si="43"/>
        <v>0</v>
      </c>
      <c r="P199" s="29">
        <f t="shared" si="44"/>
        <v>0</v>
      </c>
      <c r="Q199" s="29">
        <f>IF(A199&lt;&gt;"",SUM(F$2:F199),Q198)</f>
        <v>8</v>
      </c>
      <c r="R199" s="30">
        <f t="shared" si="53"/>
        <v>0</v>
      </c>
    </row>
    <row r="200" spans="1:18" x14ac:dyDescent="0.25">
      <c r="A200" s="27" t="str">
        <f>IF('Data Sheet'!A200="","",'Data Sheet'!A200)</f>
        <v/>
      </c>
      <c r="B200" s="28" t="str">
        <f>IF('Data Sheet'!B200="","",'Data Sheet'!B200)</f>
        <v/>
      </c>
      <c r="C200" s="28" t="str">
        <f>IF('Data Sheet'!C200="","",'Data Sheet'!C200)</f>
        <v/>
      </c>
      <c r="D200" s="28" t="str">
        <f>IF('Data Sheet'!D200="","",'Data Sheet'!D200)</f>
        <v/>
      </c>
      <c r="E200" s="29" t="str">
        <f t="shared" si="45"/>
        <v>C</v>
      </c>
      <c r="F200" s="51">
        <v>0</v>
      </c>
      <c r="G200" s="49">
        <f t="shared" si="46"/>
        <v>0</v>
      </c>
      <c r="H200" s="49">
        <f t="shared" si="47"/>
        <v>0</v>
      </c>
      <c r="I200" s="49">
        <f t="shared" si="48"/>
        <v>0</v>
      </c>
      <c r="J200" s="49">
        <f t="shared" si="49"/>
        <v>0</v>
      </c>
      <c r="K200" s="49">
        <f t="shared" si="50"/>
        <v>0</v>
      </c>
      <c r="L200" s="49">
        <f t="shared" si="51"/>
        <v>0</v>
      </c>
      <c r="M200" s="49">
        <f t="shared" si="52"/>
        <v>0</v>
      </c>
      <c r="N200" s="29" t="str">
        <f t="shared" si="42"/>
        <v/>
      </c>
      <c r="O200" s="29">
        <f t="shared" si="43"/>
        <v>0</v>
      </c>
      <c r="P200" s="29">
        <f t="shared" si="44"/>
        <v>0</v>
      </c>
      <c r="Q200" s="29">
        <f>IF(A200&lt;&gt;"",SUM(F$2:F200),Q199)</f>
        <v>8</v>
      </c>
      <c r="R200" s="30">
        <f t="shared" si="53"/>
        <v>0</v>
      </c>
    </row>
    <row r="201" spans="1:18" x14ac:dyDescent="0.25">
      <c r="A201" s="27" t="str">
        <f>IF('Data Sheet'!A201="","",'Data Sheet'!A201)</f>
        <v/>
      </c>
      <c r="B201" s="28" t="str">
        <f>IF('Data Sheet'!B201="","",'Data Sheet'!B201)</f>
        <v/>
      </c>
      <c r="C201" s="28" t="str">
        <f>IF('Data Sheet'!C201="","",'Data Sheet'!C201)</f>
        <v/>
      </c>
      <c r="D201" s="28" t="str">
        <f>IF('Data Sheet'!D201="","",'Data Sheet'!D201)</f>
        <v/>
      </c>
      <c r="E201" s="29" t="str">
        <f t="shared" si="45"/>
        <v>C</v>
      </c>
      <c r="F201" s="51">
        <v>0</v>
      </c>
      <c r="G201" s="49">
        <f t="shared" si="46"/>
        <v>0</v>
      </c>
      <c r="H201" s="49">
        <f t="shared" si="47"/>
        <v>0</v>
      </c>
      <c r="I201" s="49">
        <f t="shared" si="48"/>
        <v>0</v>
      </c>
      <c r="J201" s="49">
        <f t="shared" si="49"/>
        <v>0</v>
      </c>
      <c r="K201" s="49">
        <f t="shared" si="50"/>
        <v>0</v>
      </c>
      <c r="L201" s="49">
        <f t="shared" si="51"/>
        <v>0</v>
      </c>
      <c r="M201" s="49">
        <f t="shared" si="52"/>
        <v>0</v>
      </c>
      <c r="N201" s="29" t="str">
        <f t="shared" si="42"/>
        <v/>
      </c>
      <c r="O201" s="29">
        <f t="shared" si="43"/>
        <v>0</v>
      </c>
      <c r="P201" s="29">
        <f t="shared" si="44"/>
        <v>0</v>
      </c>
      <c r="Q201" s="29">
        <f>IF(A201&lt;&gt;"",SUM(F$2:F201),Q200)</f>
        <v>8</v>
      </c>
      <c r="R201" s="30">
        <f t="shared" si="53"/>
        <v>0</v>
      </c>
    </row>
    <row r="202" spans="1:18" x14ac:dyDescent="0.25">
      <c r="A202" s="27" t="str">
        <f>IF('Data Sheet'!A202="","",'Data Sheet'!A202)</f>
        <v/>
      </c>
      <c r="B202" s="28" t="str">
        <f>IF('Data Sheet'!B202="","",'Data Sheet'!B202)</f>
        <v/>
      </c>
      <c r="C202" s="28" t="str">
        <f>IF('Data Sheet'!C202="","",'Data Sheet'!C202)</f>
        <v/>
      </c>
      <c r="D202" s="28" t="str">
        <f>IF('Data Sheet'!D202="","",'Data Sheet'!D202)</f>
        <v/>
      </c>
      <c r="E202" s="29" t="str">
        <f t="shared" si="45"/>
        <v>C</v>
      </c>
      <c r="F202" s="51">
        <v>0</v>
      </c>
      <c r="G202" s="49">
        <f t="shared" si="46"/>
        <v>0</v>
      </c>
      <c r="H202" s="49">
        <f t="shared" si="47"/>
        <v>0</v>
      </c>
      <c r="I202" s="49">
        <f t="shared" si="48"/>
        <v>0</v>
      </c>
      <c r="J202" s="49">
        <f t="shared" si="49"/>
        <v>0</v>
      </c>
      <c r="K202" s="49">
        <f t="shared" si="50"/>
        <v>0</v>
      </c>
      <c r="L202" s="49">
        <f t="shared" si="51"/>
        <v>0</v>
      </c>
      <c r="M202" s="49">
        <f t="shared" si="52"/>
        <v>0</v>
      </c>
      <c r="N202" s="29" t="str">
        <f t="shared" si="42"/>
        <v/>
      </c>
      <c r="O202" s="29">
        <f t="shared" si="43"/>
        <v>0</v>
      </c>
      <c r="P202" s="29">
        <f t="shared" si="44"/>
        <v>0</v>
      </c>
      <c r="Q202" s="29">
        <f>IF(A202&lt;&gt;"",SUM(F$2:F202),Q201)</f>
        <v>8</v>
      </c>
      <c r="R202" s="30">
        <f t="shared" si="53"/>
        <v>0</v>
      </c>
    </row>
    <row r="203" spans="1:18" x14ac:dyDescent="0.25">
      <c r="A203" s="27" t="str">
        <f>IF('Data Sheet'!A203="","",'Data Sheet'!A203)</f>
        <v/>
      </c>
      <c r="B203" s="28" t="str">
        <f>IF('Data Sheet'!B203="","",'Data Sheet'!B203)</f>
        <v/>
      </c>
      <c r="C203" s="28" t="str">
        <f>IF('Data Sheet'!C203="","",'Data Sheet'!C203)</f>
        <v/>
      </c>
      <c r="D203" s="28" t="str">
        <f>IF('Data Sheet'!D203="","",'Data Sheet'!D203)</f>
        <v/>
      </c>
      <c r="E203" s="29" t="str">
        <f t="shared" si="45"/>
        <v>C</v>
      </c>
      <c r="F203" s="51">
        <v>0</v>
      </c>
      <c r="G203" s="49">
        <f t="shared" si="46"/>
        <v>0</v>
      </c>
      <c r="H203" s="49">
        <f t="shared" si="47"/>
        <v>0</v>
      </c>
      <c r="I203" s="49">
        <f t="shared" si="48"/>
        <v>0</v>
      </c>
      <c r="J203" s="49">
        <f t="shared" si="49"/>
        <v>0</v>
      </c>
      <c r="K203" s="49">
        <f t="shared" si="50"/>
        <v>0</v>
      </c>
      <c r="L203" s="49">
        <f t="shared" si="51"/>
        <v>0</v>
      </c>
      <c r="M203" s="49">
        <f t="shared" si="52"/>
        <v>0</v>
      </c>
      <c r="N203" s="29" t="str">
        <f t="shared" si="42"/>
        <v/>
      </c>
      <c r="O203" s="29">
        <f t="shared" si="43"/>
        <v>0</v>
      </c>
      <c r="P203" s="29">
        <f t="shared" si="44"/>
        <v>0</v>
      </c>
      <c r="Q203" s="29">
        <f>IF(A203&lt;&gt;"",SUM(F$2:F203),Q202)</f>
        <v>8</v>
      </c>
      <c r="R203" s="30">
        <f t="shared" si="53"/>
        <v>0</v>
      </c>
    </row>
    <row r="204" spans="1:18" x14ac:dyDescent="0.25">
      <c r="A204" s="27" t="str">
        <f>IF('Data Sheet'!A204="","",'Data Sheet'!A204)</f>
        <v/>
      </c>
      <c r="B204" s="28" t="str">
        <f>IF('Data Sheet'!B204="","",'Data Sheet'!B204)</f>
        <v/>
      </c>
      <c r="C204" s="28" t="str">
        <f>IF('Data Sheet'!C204="","",'Data Sheet'!C204)</f>
        <v/>
      </c>
      <c r="D204" s="28" t="str">
        <f>IF('Data Sheet'!D204="","",'Data Sheet'!D204)</f>
        <v/>
      </c>
      <c r="E204" s="29" t="str">
        <f t="shared" si="45"/>
        <v>C</v>
      </c>
      <c r="F204" s="51">
        <v>0</v>
      </c>
      <c r="G204" s="49">
        <f t="shared" si="46"/>
        <v>0</v>
      </c>
      <c r="H204" s="49">
        <f t="shared" si="47"/>
        <v>0</v>
      </c>
      <c r="I204" s="49">
        <f t="shared" si="48"/>
        <v>0</v>
      </c>
      <c r="J204" s="49">
        <f t="shared" si="49"/>
        <v>0</v>
      </c>
      <c r="K204" s="49">
        <f t="shared" si="50"/>
        <v>0</v>
      </c>
      <c r="L204" s="49">
        <f t="shared" si="51"/>
        <v>0</v>
      </c>
      <c r="M204" s="49">
        <f t="shared" si="52"/>
        <v>0</v>
      </c>
      <c r="N204" s="29" t="str">
        <f t="shared" si="42"/>
        <v/>
      </c>
      <c r="O204" s="29">
        <f t="shared" si="43"/>
        <v>0</v>
      </c>
      <c r="P204" s="29">
        <f t="shared" si="44"/>
        <v>0</v>
      </c>
      <c r="Q204" s="29">
        <f>IF(A204&lt;&gt;"",SUM(F$2:F204),Q203)</f>
        <v>8</v>
      </c>
      <c r="R204" s="30">
        <f t="shared" si="53"/>
        <v>0</v>
      </c>
    </row>
    <row r="205" spans="1:18" x14ac:dyDescent="0.25">
      <c r="A205" s="27" t="str">
        <f>IF('Data Sheet'!A205="","",'Data Sheet'!A205)</f>
        <v/>
      </c>
      <c r="B205" s="28" t="str">
        <f>IF('Data Sheet'!B205="","",'Data Sheet'!B205)</f>
        <v/>
      </c>
      <c r="C205" s="28" t="str">
        <f>IF('Data Sheet'!C205="","",'Data Sheet'!C205)</f>
        <v/>
      </c>
      <c r="D205" s="28" t="str">
        <f>IF('Data Sheet'!D205="","",'Data Sheet'!D205)</f>
        <v/>
      </c>
      <c r="E205" s="29" t="str">
        <f t="shared" si="45"/>
        <v>C</v>
      </c>
      <c r="F205" s="51">
        <v>0</v>
      </c>
      <c r="G205" s="49">
        <f t="shared" si="46"/>
        <v>0</v>
      </c>
      <c r="H205" s="49">
        <f t="shared" si="47"/>
        <v>0</v>
      </c>
      <c r="I205" s="49">
        <f t="shared" si="48"/>
        <v>0</v>
      </c>
      <c r="J205" s="49">
        <f t="shared" si="49"/>
        <v>0</v>
      </c>
      <c r="K205" s="49">
        <f t="shared" si="50"/>
        <v>0</v>
      </c>
      <c r="L205" s="49">
        <f t="shared" si="51"/>
        <v>0</v>
      </c>
      <c r="M205" s="49">
        <f t="shared" si="52"/>
        <v>0</v>
      </c>
      <c r="N205" s="29" t="str">
        <f t="shared" si="42"/>
        <v/>
      </c>
      <c r="O205" s="29">
        <f t="shared" si="43"/>
        <v>0</v>
      </c>
      <c r="P205" s="29">
        <f t="shared" si="44"/>
        <v>0</v>
      </c>
      <c r="Q205" s="29">
        <f>IF(A205&lt;&gt;"",SUM(F$2:F205),Q204)</f>
        <v>8</v>
      </c>
      <c r="R205" s="30">
        <f t="shared" si="53"/>
        <v>0</v>
      </c>
    </row>
    <row r="206" spans="1:18" x14ac:dyDescent="0.25">
      <c r="A206" s="27" t="str">
        <f>IF('Data Sheet'!A206="","",'Data Sheet'!A206)</f>
        <v/>
      </c>
      <c r="B206" s="28" t="str">
        <f>IF('Data Sheet'!B206="","",'Data Sheet'!B206)</f>
        <v/>
      </c>
      <c r="C206" s="28" t="str">
        <f>IF('Data Sheet'!C206="","",'Data Sheet'!C206)</f>
        <v/>
      </c>
      <c r="D206" s="28" t="str">
        <f>IF('Data Sheet'!D206="","",'Data Sheet'!D206)</f>
        <v/>
      </c>
      <c r="E206" s="29" t="str">
        <f t="shared" si="45"/>
        <v>C</v>
      </c>
      <c r="F206" s="51">
        <v>0</v>
      </c>
      <c r="G206" s="49">
        <f t="shared" si="46"/>
        <v>0</v>
      </c>
      <c r="H206" s="49">
        <f t="shared" si="47"/>
        <v>0</v>
      </c>
      <c r="I206" s="49">
        <f t="shared" si="48"/>
        <v>0</v>
      </c>
      <c r="J206" s="49">
        <f t="shared" si="49"/>
        <v>0</v>
      </c>
      <c r="K206" s="49">
        <f t="shared" si="50"/>
        <v>0</v>
      </c>
      <c r="L206" s="49">
        <f t="shared" si="51"/>
        <v>0</v>
      </c>
      <c r="M206" s="49">
        <f t="shared" si="52"/>
        <v>0</v>
      </c>
      <c r="N206" s="29" t="str">
        <f t="shared" si="42"/>
        <v/>
      </c>
      <c r="O206" s="29">
        <f t="shared" si="43"/>
        <v>0</v>
      </c>
      <c r="P206" s="29">
        <f t="shared" si="44"/>
        <v>0</v>
      </c>
      <c r="Q206" s="29">
        <f>IF(A206&lt;&gt;"",SUM(F$2:F206),Q205)</f>
        <v>8</v>
      </c>
      <c r="R206" s="30">
        <f t="shared" si="53"/>
        <v>0</v>
      </c>
    </row>
    <row r="207" spans="1:18" x14ac:dyDescent="0.25">
      <c r="A207" s="27" t="str">
        <f>IF('Data Sheet'!A207="","",'Data Sheet'!A207)</f>
        <v/>
      </c>
      <c r="B207" s="28" t="str">
        <f>IF('Data Sheet'!B207="","",'Data Sheet'!B207)</f>
        <v/>
      </c>
      <c r="C207" s="28" t="str">
        <f>IF('Data Sheet'!C207="","",'Data Sheet'!C207)</f>
        <v/>
      </c>
      <c r="D207" s="28" t="str">
        <f>IF('Data Sheet'!D207="","",'Data Sheet'!D207)</f>
        <v/>
      </c>
      <c r="E207" s="29" t="str">
        <f t="shared" si="45"/>
        <v>C</v>
      </c>
      <c r="F207" s="51">
        <v>0</v>
      </c>
      <c r="G207" s="49">
        <f t="shared" si="46"/>
        <v>0</v>
      </c>
      <c r="H207" s="49">
        <f t="shared" si="47"/>
        <v>0</v>
      </c>
      <c r="I207" s="49">
        <f t="shared" si="48"/>
        <v>0</v>
      </c>
      <c r="J207" s="49">
        <f t="shared" si="49"/>
        <v>0</v>
      </c>
      <c r="K207" s="49">
        <f t="shared" si="50"/>
        <v>0</v>
      </c>
      <c r="L207" s="49">
        <f t="shared" si="51"/>
        <v>0</v>
      </c>
      <c r="M207" s="49">
        <f t="shared" si="52"/>
        <v>0</v>
      </c>
      <c r="N207" s="29" t="str">
        <f t="shared" si="42"/>
        <v/>
      </c>
      <c r="O207" s="29">
        <f t="shared" si="43"/>
        <v>0</v>
      </c>
      <c r="P207" s="29">
        <f t="shared" si="44"/>
        <v>0</v>
      </c>
      <c r="Q207" s="29">
        <f>IF(A207&lt;&gt;"",SUM(F$2:F207),Q206)</f>
        <v>8</v>
      </c>
      <c r="R207" s="30">
        <f t="shared" si="53"/>
        <v>0</v>
      </c>
    </row>
    <row r="208" spans="1:18" x14ac:dyDescent="0.25">
      <c r="A208" s="27" t="str">
        <f>IF('Data Sheet'!A208="","",'Data Sheet'!A208)</f>
        <v/>
      </c>
      <c r="B208" s="28" t="str">
        <f>IF('Data Sheet'!B208="","",'Data Sheet'!B208)</f>
        <v/>
      </c>
      <c r="C208" s="28" t="str">
        <f>IF('Data Sheet'!C208="","",'Data Sheet'!C208)</f>
        <v/>
      </c>
      <c r="D208" s="28" t="str">
        <f>IF('Data Sheet'!D208="","",'Data Sheet'!D208)</f>
        <v/>
      </c>
      <c r="E208" s="29" t="str">
        <f t="shared" si="45"/>
        <v>C</v>
      </c>
      <c r="F208" s="51">
        <v>0</v>
      </c>
      <c r="G208" s="49">
        <f t="shared" si="46"/>
        <v>0</v>
      </c>
      <c r="H208" s="49">
        <f t="shared" si="47"/>
        <v>0</v>
      </c>
      <c r="I208" s="49">
        <f t="shared" si="48"/>
        <v>0</v>
      </c>
      <c r="J208" s="49">
        <f t="shared" si="49"/>
        <v>0</v>
      </c>
      <c r="K208" s="49">
        <f t="shared" si="50"/>
        <v>0</v>
      </c>
      <c r="L208" s="49">
        <f t="shared" si="51"/>
        <v>0</v>
      </c>
      <c r="M208" s="49">
        <f t="shared" si="52"/>
        <v>0</v>
      </c>
      <c r="N208" s="29" t="str">
        <f t="shared" si="42"/>
        <v/>
      </c>
      <c r="O208" s="29">
        <f t="shared" si="43"/>
        <v>0</v>
      </c>
      <c r="P208" s="29">
        <f t="shared" si="44"/>
        <v>0</v>
      </c>
      <c r="Q208" s="29">
        <f>IF(A208&lt;&gt;"",SUM(F$2:F208),Q207)</f>
        <v>8</v>
      </c>
      <c r="R208" s="30">
        <f t="shared" si="53"/>
        <v>0</v>
      </c>
    </row>
    <row r="209" spans="1:18" x14ac:dyDescent="0.25">
      <c r="A209" s="27" t="str">
        <f>IF('Data Sheet'!A209="","",'Data Sheet'!A209)</f>
        <v/>
      </c>
      <c r="B209" s="28" t="str">
        <f>IF('Data Sheet'!B209="","",'Data Sheet'!B209)</f>
        <v/>
      </c>
      <c r="C209" s="28" t="str">
        <f>IF('Data Sheet'!C209="","",'Data Sheet'!C209)</f>
        <v/>
      </c>
      <c r="D209" s="28" t="str">
        <f>IF('Data Sheet'!D209="","",'Data Sheet'!D209)</f>
        <v/>
      </c>
      <c r="E209" s="29" t="str">
        <f t="shared" si="45"/>
        <v>C</v>
      </c>
      <c r="F209" s="51">
        <v>0</v>
      </c>
      <c r="G209" s="49">
        <f t="shared" si="46"/>
        <v>0</v>
      </c>
      <c r="H209" s="49">
        <f t="shared" si="47"/>
        <v>0</v>
      </c>
      <c r="I209" s="49">
        <f t="shared" si="48"/>
        <v>0</v>
      </c>
      <c r="J209" s="49">
        <f t="shared" si="49"/>
        <v>0</v>
      </c>
      <c r="K209" s="49">
        <f t="shared" si="50"/>
        <v>0</v>
      </c>
      <c r="L209" s="49">
        <f t="shared" si="51"/>
        <v>0</v>
      </c>
      <c r="M209" s="49">
        <f t="shared" si="52"/>
        <v>0</v>
      </c>
      <c r="N209" s="29" t="str">
        <f t="shared" si="42"/>
        <v/>
      </c>
      <c r="O209" s="29">
        <f t="shared" si="43"/>
        <v>0</v>
      </c>
      <c r="P209" s="29">
        <f t="shared" si="44"/>
        <v>0</v>
      </c>
      <c r="Q209" s="29">
        <f>IF(A209&lt;&gt;"",SUM(F$2:F209),Q208)</f>
        <v>8</v>
      </c>
      <c r="R209" s="30">
        <f t="shared" si="53"/>
        <v>0</v>
      </c>
    </row>
    <row r="210" spans="1:18" x14ac:dyDescent="0.25">
      <c r="A210" s="27" t="str">
        <f>IF('Data Sheet'!A210="","",'Data Sheet'!A210)</f>
        <v/>
      </c>
      <c r="B210" s="28" t="str">
        <f>IF('Data Sheet'!B210="","",'Data Sheet'!B210)</f>
        <v/>
      </c>
      <c r="C210" s="28" t="str">
        <f>IF('Data Sheet'!C210="","",'Data Sheet'!C210)</f>
        <v/>
      </c>
      <c r="D210" s="28" t="str">
        <f>IF('Data Sheet'!D210="","",'Data Sheet'!D210)</f>
        <v/>
      </c>
      <c r="E210" s="29" t="str">
        <f t="shared" si="45"/>
        <v>C</v>
      </c>
      <c r="F210" s="51">
        <v>0</v>
      </c>
      <c r="G210" s="49">
        <f t="shared" si="46"/>
        <v>0</v>
      </c>
      <c r="H210" s="49">
        <f t="shared" si="47"/>
        <v>0</v>
      </c>
      <c r="I210" s="49">
        <f t="shared" si="48"/>
        <v>0</v>
      </c>
      <c r="J210" s="49">
        <f t="shared" si="49"/>
        <v>0</v>
      </c>
      <c r="K210" s="49">
        <f t="shared" si="50"/>
        <v>0</v>
      </c>
      <c r="L210" s="49">
        <f t="shared" si="51"/>
        <v>0</v>
      </c>
      <c r="M210" s="49">
        <f t="shared" si="52"/>
        <v>0</v>
      </c>
      <c r="N210" s="29" t="str">
        <f t="shared" si="42"/>
        <v/>
      </c>
      <c r="O210" s="29">
        <f t="shared" si="43"/>
        <v>0</v>
      </c>
      <c r="P210" s="29">
        <f t="shared" si="44"/>
        <v>0</v>
      </c>
      <c r="Q210" s="29">
        <f>IF(A210&lt;&gt;"",SUM(F$2:F210),Q209)</f>
        <v>8</v>
      </c>
      <c r="R210" s="30">
        <f t="shared" si="53"/>
        <v>0</v>
      </c>
    </row>
    <row r="211" spans="1:18" x14ac:dyDescent="0.25">
      <c r="A211" s="27" t="str">
        <f>IF('Data Sheet'!A211="","",'Data Sheet'!A211)</f>
        <v/>
      </c>
      <c r="B211" s="28" t="str">
        <f>IF('Data Sheet'!B211="","",'Data Sheet'!B211)</f>
        <v/>
      </c>
      <c r="C211" s="28" t="str">
        <f>IF('Data Sheet'!C211="","",'Data Sheet'!C211)</f>
        <v/>
      </c>
      <c r="D211" s="28" t="str">
        <f>IF('Data Sheet'!D211="","",'Data Sheet'!D211)</f>
        <v/>
      </c>
      <c r="E211" s="29" t="str">
        <f t="shared" si="45"/>
        <v>C</v>
      </c>
      <c r="F211" s="51">
        <v>0</v>
      </c>
      <c r="G211" s="49">
        <f t="shared" si="46"/>
        <v>0</v>
      </c>
      <c r="H211" s="49">
        <f t="shared" si="47"/>
        <v>0</v>
      </c>
      <c r="I211" s="49">
        <f t="shared" si="48"/>
        <v>0</v>
      </c>
      <c r="J211" s="49">
        <f t="shared" si="49"/>
        <v>0</v>
      </c>
      <c r="K211" s="49">
        <f t="shared" si="50"/>
        <v>0</v>
      </c>
      <c r="L211" s="49">
        <f t="shared" si="51"/>
        <v>0</v>
      </c>
      <c r="M211" s="49">
        <f t="shared" si="52"/>
        <v>0</v>
      </c>
      <c r="N211" s="29" t="str">
        <f t="shared" si="42"/>
        <v/>
      </c>
      <c r="O211" s="29">
        <f t="shared" si="43"/>
        <v>0</v>
      </c>
      <c r="P211" s="29">
        <f t="shared" si="44"/>
        <v>0</v>
      </c>
      <c r="Q211" s="29">
        <f>IF(A211&lt;&gt;"",SUM(F$2:F211),Q210)</f>
        <v>8</v>
      </c>
      <c r="R211" s="30">
        <f t="shared" si="53"/>
        <v>0</v>
      </c>
    </row>
    <row r="212" spans="1:18" x14ac:dyDescent="0.25">
      <c r="A212" s="27" t="str">
        <f>IF('Data Sheet'!A212="","",'Data Sheet'!A212)</f>
        <v/>
      </c>
      <c r="B212" s="28" t="str">
        <f>IF('Data Sheet'!B212="","",'Data Sheet'!B212)</f>
        <v/>
      </c>
      <c r="C212" s="28" t="str">
        <f>IF('Data Sheet'!C212="","",'Data Sheet'!C212)</f>
        <v/>
      </c>
      <c r="D212" s="28" t="str">
        <f>IF('Data Sheet'!D212="","",'Data Sheet'!D212)</f>
        <v/>
      </c>
      <c r="E212" s="29" t="str">
        <f t="shared" si="45"/>
        <v>C</v>
      </c>
      <c r="F212" s="51">
        <v>0</v>
      </c>
      <c r="G212" s="49">
        <f t="shared" si="46"/>
        <v>0</v>
      </c>
      <c r="H212" s="49">
        <f t="shared" si="47"/>
        <v>0</v>
      </c>
      <c r="I212" s="49">
        <f t="shared" si="48"/>
        <v>0</v>
      </c>
      <c r="J212" s="49">
        <f t="shared" si="49"/>
        <v>0</v>
      </c>
      <c r="K212" s="49">
        <f t="shared" si="50"/>
        <v>0</v>
      </c>
      <c r="L212" s="49">
        <f t="shared" si="51"/>
        <v>0</v>
      </c>
      <c r="M212" s="49">
        <f t="shared" si="52"/>
        <v>0</v>
      </c>
      <c r="N212" s="29" t="str">
        <f t="shared" si="42"/>
        <v/>
      </c>
      <c r="O212" s="29">
        <f t="shared" si="43"/>
        <v>0</v>
      </c>
      <c r="P212" s="29">
        <f t="shared" si="44"/>
        <v>0</v>
      </c>
      <c r="Q212" s="29">
        <f>IF(A212&lt;&gt;"",SUM(F$2:F212),Q211)</f>
        <v>8</v>
      </c>
      <c r="R212" s="30">
        <f t="shared" si="53"/>
        <v>0</v>
      </c>
    </row>
    <row r="213" spans="1:18" x14ac:dyDescent="0.25">
      <c r="A213" s="27" t="str">
        <f>IF('Data Sheet'!A213="","",'Data Sheet'!A213)</f>
        <v/>
      </c>
      <c r="B213" s="28" t="str">
        <f>IF('Data Sheet'!B213="","",'Data Sheet'!B213)</f>
        <v/>
      </c>
      <c r="C213" s="28" t="str">
        <f>IF('Data Sheet'!C213="","",'Data Sheet'!C213)</f>
        <v/>
      </c>
      <c r="D213" s="28" t="str">
        <f>IF('Data Sheet'!D213="","",'Data Sheet'!D213)</f>
        <v/>
      </c>
      <c r="E213" s="29" t="str">
        <f t="shared" si="45"/>
        <v>C</v>
      </c>
      <c r="F213" s="51">
        <v>0</v>
      </c>
      <c r="G213" s="49">
        <f t="shared" si="46"/>
        <v>0</v>
      </c>
      <c r="H213" s="49">
        <f t="shared" si="47"/>
        <v>0</v>
      </c>
      <c r="I213" s="49">
        <f t="shared" si="48"/>
        <v>0</v>
      </c>
      <c r="J213" s="49">
        <f t="shared" si="49"/>
        <v>0</v>
      </c>
      <c r="K213" s="49">
        <f t="shared" si="50"/>
        <v>0</v>
      </c>
      <c r="L213" s="49">
        <f t="shared" si="51"/>
        <v>0</v>
      </c>
      <c r="M213" s="49">
        <f t="shared" si="52"/>
        <v>0</v>
      </c>
      <c r="N213" s="29" t="str">
        <f t="shared" si="42"/>
        <v/>
      </c>
      <c r="O213" s="29">
        <f t="shared" si="43"/>
        <v>0</v>
      </c>
      <c r="P213" s="29">
        <f t="shared" si="44"/>
        <v>0</v>
      </c>
      <c r="Q213" s="29">
        <f>IF(A213&lt;&gt;"",SUM(F$2:F213),Q212)</f>
        <v>8</v>
      </c>
      <c r="R213" s="30">
        <f t="shared" si="53"/>
        <v>0</v>
      </c>
    </row>
    <row r="214" spans="1:18" x14ac:dyDescent="0.25">
      <c r="A214" s="27" t="str">
        <f>IF('Data Sheet'!A214="","",'Data Sheet'!A214)</f>
        <v/>
      </c>
      <c r="B214" s="28" t="str">
        <f>IF('Data Sheet'!B214="","",'Data Sheet'!B214)</f>
        <v/>
      </c>
      <c r="C214" s="28" t="str">
        <f>IF('Data Sheet'!C214="","",'Data Sheet'!C214)</f>
        <v/>
      </c>
      <c r="D214" s="28" t="str">
        <f>IF('Data Sheet'!D214="","",'Data Sheet'!D214)</f>
        <v/>
      </c>
      <c r="E214" s="29" t="str">
        <f t="shared" si="45"/>
        <v>C</v>
      </c>
      <c r="F214" s="51">
        <v>0</v>
      </c>
      <c r="G214" s="49">
        <f t="shared" si="46"/>
        <v>0</v>
      </c>
      <c r="H214" s="49">
        <f t="shared" si="47"/>
        <v>0</v>
      </c>
      <c r="I214" s="49">
        <f t="shared" si="48"/>
        <v>0</v>
      </c>
      <c r="J214" s="49">
        <f t="shared" si="49"/>
        <v>0</v>
      </c>
      <c r="K214" s="49">
        <f t="shared" si="50"/>
        <v>0</v>
      </c>
      <c r="L214" s="49">
        <f t="shared" si="51"/>
        <v>0</v>
      </c>
      <c r="M214" s="49">
        <f t="shared" si="52"/>
        <v>0</v>
      </c>
      <c r="N214" s="29" t="str">
        <f t="shared" si="42"/>
        <v/>
      </c>
      <c r="O214" s="29">
        <f t="shared" si="43"/>
        <v>0</v>
      </c>
      <c r="P214" s="29">
        <f t="shared" si="44"/>
        <v>0</v>
      </c>
      <c r="Q214" s="29">
        <f>IF(A214&lt;&gt;"",SUM(F$2:F214),Q213)</f>
        <v>8</v>
      </c>
      <c r="R214" s="30">
        <f t="shared" si="53"/>
        <v>0</v>
      </c>
    </row>
    <row r="215" spans="1:18" x14ac:dyDescent="0.25">
      <c r="A215" s="27" t="str">
        <f>IF('Data Sheet'!A215="","",'Data Sheet'!A215)</f>
        <v/>
      </c>
      <c r="B215" s="28" t="str">
        <f>IF('Data Sheet'!B215="","",'Data Sheet'!B215)</f>
        <v/>
      </c>
      <c r="C215" s="28" t="str">
        <f>IF('Data Sheet'!C215="","",'Data Sheet'!C215)</f>
        <v/>
      </c>
      <c r="D215" s="28" t="str">
        <f>IF('Data Sheet'!D215="","",'Data Sheet'!D215)</f>
        <v/>
      </c>
      <c r="E215" s="29" t="str">
        <f t="shared" si="45"/>
        <v>C</v>
      </c>
      <c r="F215" s="51">
        <v>0</v>
      </c>
      <c r="G215" s="49">
        <f t="shared" si="46"/>
        <v>0</v>
      </c>
      <c r="H215" s="49">
        <f t="shared" si="47"/>
        <v>0</v>
      </c>
      <c r="I215" s="49">
        <f t="shared" si="48"/>
        <v>0</v>
      </c>
      <c r="J215" s="49">
        <f t="shared" si="49"/>
        <v>0</v>
      </c>
      <c r="K215" s="49">
        <f t="shared" si="50"/>
        <v>0</v>
      </c>
      <c r="L215" s="49">
        <f t="shared" si="51"/>
        <v>0</v>
      </c>
      <c r="M215" s="49">
        <f t="shared" si="52"/>
        <v>0</v>
      </c>
      <c r="N215" s="29" t="str">
        <f t="shared" si="42"/>
        <v/>
      </c>
      <c r="O215" s="29">
        <f t="shared" si="43"/>
        <v>0</v>
      </c>
      <c r="P215" s="29">
        <f t="shared" si="44"/>
        <v>0</v>
      </c>
      <c r="Q215" s="29">
        <f>IF(A215&lt;&gt;"",SUM(F$2:F215),Q214)</f>
        <v>8</v>
      </c>
      <c r="R215" s="30">
        <f t="shared" si="53"/>
        <v>0</v>
      </c>
    </row>
    <row r="216" spans="1:18" x14ac:dyDescent="0.25">
      <c r="A216" s="27" t="str">
        <f>IF('Data Sheet'!A216="","",'Data Sheet'!A216)</f>
        <v/>
      </c>
      <c r="B216" s="28" t="str">
        <f>IF('Data Sheet'!B216="","",'Data Sheet'!B216)</f>
        <v/>
      </c>
      <c r="C216" s="28" t="str">
        <f>IF('Data Sheet'!C216="","",'Data Sheet'!C216)</f>
        <v/>
      </c>
      <c r="D216" s="28" t="str">
        <f>IF('Data Sheet'!D216="","",'Data Sheet'!D216)</f>
        <v/>
      </c>
      <c r="E216" s="29" t="str">
        <f t="shared" si="45"/>
        <v>C</v>
      </c>
      <c r="F216" s="51">
        <v>0</v>
      </c>
      <c r="G216" s="49">
        <f t="shared" si="46"/>
        <v>0</v>
      </c>
      <c r="H216" s="49">
        <f t="shared" si="47"/>
        <v>0</v>
      </c>
      <c r="I216" s="49">
        <f t="shared" si="48"/>
        <v>0</v>
      </c>
      <c r="J216" s="49">
        <f t="shared" si="49"/>
        <v>0</v>
      </c>
      <c r="K216" s="49">
        <f t="shared" si="50"/>
        <v>0</v>
      </c>
      <c r="L216" s="49">
        <f t="shared" si="51"/>
        <v>0</v>
      </c>
      <c r="M216" s="49">
        <f t="shared" si="52"/>
        <v>0</v>
      </c>
      <c r="N216" s="29" t="str">
        <f t="shared" si="42"/>
        <v/>
      </c>
      <c r="O216" s="29">
        <f t="shared" si="43"/>
        <v>0</v>
      </c>
      <c r="P216" s="29">
        <f t="shared" si="44"/>
        <v>0</v>
      </c>
      <c r="Q216" s="29">
        <f>IF(A216&lt;&gt;"",SUM(F$2:F216),Q215)</f>
        <v>8</v>
      </c>
      <c r="R216" s="30">
        <f t="shared" si="53"/>
        <v>0</v>
      </c>
    </row>
    <row r="217" spans="1:18" x14ac:dyDescent="0.25">
      <c r="A217" s="27" t="str">
        <f>IF('Data Sheet'!A217="","",'Data Sheet'!A217)</f>
        <v/>
      </c>
      <c r="B217" s="28" t="str">
        <f>IF('Data Sheet'!B217="","",'Data Sheet'!B217)</f>
        <v/>
      </c>
      <c r="C217" s="28" t="str">
        <f>IF('Data Sheet'!C217="","",'Data Sheet'!C217)</f>
        <v/>
      </c>
      <c r="D217" s="28" t="str">
        <f>IF('Data Sheet'!D217="","",'Data Sheet'!D217)</f>
        <v/>
      </c>
      <c r="E217" s="29" t="str">
        <f t="shared" si="45"/>
        <v>C</v>
      </c>
      <c r="F217" s="51">
        <v>0</v>
      </c>
      <c r="G217" s="49">
        <f t="shared" si="46"/>
        <v>0</v>
      </c>
      <c r="H217" s="49">
        <f t="shared" si="47"/>
        <v>0</v>
      </c>
      <c r="I217" s="49">
        <f t="shared" si="48"/>
        <v>0</v>
      </c>
      <c r="J217" s="49">
        <f t="shared" si="49"/>
        <v>0</v>
      </c>
      <c r="K217" s="49">
        <f t="shared" si="50"/>
        <v>0</v>
      </c>
      <c r="L217" s="49">
        <f t="shared" si="51"/>
        <v>0</v>
      </c>
      <c r="M217" s="49">
        <f t="shared" si="52"/>
        <v>0</v>
      </c>
      <c r="N217" s="29" t="str">
        <f t="shared" si="42"/>
        <v/>
      </c>
      <c r="O217" s="29">
        <f t="shared" si="43"/>
        <v>0</v>
      </c>
      <c r="P217" s="29">
        <f t="shared" si="44"/>
        <v>0</v>
      </c>
      <c r="Q217" s="29">
        <f>IF(A217&lt;&gt;"",SUM(F$2:F217),Q216)</f>
        <v>8</v>
      </c>
      <c r="R217" s="30">
        <f t="shared" si="53"/>
        <v>0</v>
      </c>
    </row>
    <row r="218" spans="1:18" x14ac:dyDescent="0.25">
      <c r="A218" s="27" t="str">
        <f>IF('Data Sheet'!A218="","",'Data Sheet'!A218)</f>
        <v/>
      </c>
      <c r="B218" s="28" t="str">
        <f>IF('Data Sheet'!B218="","",'Data Sheet'!B218)</f>
        <v/>
      </c>
      <c r="C218" s="28" t="str">
        <f>IF('Data Sheet'!C218="","",'Data Sheet'!C218)</f>
        <v/>
      </c>
      <c r="D218" s="28" t="str">
        <f>IF('Data Sheet'!D218="","",'Data Sheet'!D218)</f>
        <v/>
      </c>
      <c r="E218" s="29" t="str">
        <f t="shared" si="45"/>
        <v>C</v>
      </c>
      <c r="F218" s="51">
        <v>0</v>
      </c>
      <c r="G218" s="49">
        <f t="shared" si="46"/>
        <v>0</v>
      </c>
      <c r="H218" s="49">
        <f t="shared" si="47"/>
        <v>0</v>
      </c>
      <c r="I218" s="49">
        <f t="shared" si="48"/>
        <v>0</v>
      </c>
      <c r="J218" s="49">
        <f t="shared" si="49"/>
        <v>0</v>
      </c>
      <c r="K218" s="49">
        <f t="shared" si="50"/>
        <v>0</v>
      </c>
      <c r="L218" s="49">
        <f t="shared" si="51"/>
        <v>0</v>
      </c>
      <c r="M218" s="49">
        <f t="shared" si="52"/>
        <v>0</v>
      </c>
      <c r="N218" s="29" t="str">
        <f t="shared" si="42"/>
        <v/>
      </c>
      <c r="O218" s="29">
        <f t="shared" si="43"/>
        <v>0</v>
      </c>
      <c r="P218" s="29">
        <f t="shared" si="44"/>
        <v>0</v>
      </c>
      <c r="Q218" s="29">
        <f>IF(A218&lt;&gt;"",SUM(F$2:F218),Q217)</f>
        <v>8</v>
      </c>
      <c r="R218" s="30">
        <f t="shared" si="53"/>
        <v>0</v>
      </c>
    </row>
    <row r="219" spans="1:18" x14ac:dyDescent="0.25">
      <c r="A219" s="27" t="str">
        <f>IF('Data Sheet'!A219="","",'Data Sheet'!A219)</f>
        <v/>
      </c>
      <c r="B219" s="28" t="str">
        <f>IF('Data Sheet'!B219="","",'Data Sheet'!B219)</f>
        <v/>
      </c>
      <c r="C219" s="28" t="str">
        <f>IF('Data Sheet'!C219="","",'Data Sheet'!C219)</f>
        <v/>
      </c>
      <c r="D219" s="28" t="str">
        <f>IF('Data Sheet'!D219="","",'Data Sheet'!D219)</f>
        <v/>
      </c>
      <c r="E219" s="29" t="str">
        <f t="shared" si="45"/>
        <v>C</v>
      </c>
      <c r="F219" s="51">
        <v>0</v>
      </c>
      <c r="G219" s="49">
        <f t="shared" si="46"/>
        <v>0</v>
      </c>
      <c r="H219" s="49">
        <f t="shared" si="47"/>
        <v>0</v>
      </c>
      <c r="I219" s="49">
        <f t="shared" si="48"/>
        <v>0</v>
      </c>
      <c r="J219" s="49">
        <f t="shared" si="49"/>
        <v>0</v>
      </c>
      <c r="K219" s="49">
        <f t="shared" si="50"/>
        <v>0</v>
      </c>
      <c r="L219" s="49">
        <f t="shared" si="51"/>
        <v>0</v>
      </c>
      <c r="M219" s="49">
        <f t="shared" si="52"/>
        <v>0</v>
      </c>
      <c r="N219" s="29" t="str">
        <f t="shared" si="42"/>
        <v/>
      </c>
      <c r="O219" s="29">
        <f t="shared" si="43"/>
        <v>0</v>
      </c>
      <c r="P219" s="29">
        <f t="shared" si="44"/>
        <v>0</v>
      </c>
      <c r="Q219" s="29">
        <f>IF(A219&lt;&gt;"",SUM(F$2:F219),Q218)</f>
        <v>8</v>
      </c>
      <c r="R219" s="30">
        <f t="shared" si="53"/>
        <v>0</v>
      </c>
    </row>
    <row r="220" spans="1:18" x14ac:dyDescent="0.25">
      <c r="A220" s="27" t="str">
        <f>IF('Data Sheet'!A220="","",'Data Sheet'!A220)</f>
        <v/>
      </c>
      <c r="B220" s="28" t="str">
        <f>IF('Data Sheet'!B220="","",'Data Sheet'!B220)</f>
        <v/>
      </c>
      <c r="C220" s="28" t="str">
        <f>IF('Data Sheet'!C220="","",'Data Sheet'!C220)</f>
        <v/>
      </c>
      <c r="D220" s="28" t="str">
        <f>IF('Data Sheet'!D220="","",'Data Sheet'!D220)</f>
        <v/>
      </c>
      <c r="E220" s="29" t="str">
        <f t="shared" si="45"/>
        <v>C</v>
      </c>
      <c r="F220" s="51">
        <v>0</v>
      </c>
      <c r="G220" s="49">
        <f t="shared" si="46"/>
        <v>0</v>
      </c>
      <c r="H220" s="49">
        <f t="shared" si="47"/>
        <v>0</v>
      </c>
      <c r="I220" s="49">
        <f t="shared" si="48"/>
        <v>0</v>
      </c>
      <c r="J220" s="49">
        <f t="shared" si="49"/>
        <v>0</v>
      </c>
      <c r="K220" s="49">
        <f t="shared" si="50"/>
        <v>0</v>
      </c>
      <c r="L220" s="49">
        <f t="shared" si="51"/>
        <v>0</v>
      </c>
      <c r="M220" s="49">
        <f t="shared" si="52"/>
        <v>0</v>
      </c>
      <c r="N220" s="29" t="str">
        <f t="shared" si="42"/>
        <v/>
      </c>
      <c r="O220" s="29">
        <f t="shared" si="43"/>
        <v>0</v>
      </c>
      <c r="P220" s="29">
        <f t="shared" si="44"/>
        <v>0</v>
      </c>
      <c r="Q220" s="29">
        <f>IF(A220&lt;&gt;"",SUM(F$2:F220),Q219)</f>
        <v>8</v>
      </c>
      <c r="R220" s="30">
        <f t="shared" si="53"/>
        <v>0</v>
      </c>
    </row>
    <row r="221" spans="1:18" x14ac:dyDescent="0.25">
      <c r="A221" s="27" t="str">
        <f>IF('Data Sheet'!A221="","",'Data Sheet'!A221)</f>
        <v/>
      </c>
      <c r="B221" s="28" t="str">
        <f>IF('Data Sheet'!B221="","",'Data Sheet'!B221)</f>
        <v/>
      </c>
      <c r="C221" s="28" t="str">
        <f>IF('Data Sheet'!C221="","",'Data Sheet'!C221)</f>
        <v/>
      </c>
      <c r="D221" s="28" t="str">
        <f>IF('Data Sheet'!D221="","",'Data Sheet'!D221)</f>
        <v/>
      </c>
      <c r="E221" s="29" t="str">
        <f t="shared" si="45"/>
        <v>C</v>
      </c>
      <c r="F221" s="51">
        <v>0</v>
      </c>
      <c r="G221" s="49">
        <f t="shared" si="46"/>
        <v>0</v>
      </c>
      <c r="H221" s="49">
        <f t="shared" si="47"/>
        <v>0</v>
      </c>
      <c r="I221" s="49">
        <f t="shared" si="48"/>
        <v>0</v>
      </c>
      <c r="J221" s="49">
        <f t="shared" si="49"/>
        <v>0</v>
      </c>
      <c r="K221" s="49">
        <f t="shared" si="50"/>
        <v>0</v>
      </c>
      <c r="L221" s="49">
        <f t="shared" si="51"/>
        <v>0</v>
      </c>
      <c r="M221" s="49">
        <f t="shared" si="52"/>
        <v>0</v>
      </c>
      <c r="N221" s="29" t="str">
        <f t="shared" si="42"/>
        <v/>
      </c>
      <c r="O221" s="29">
        <f t="shared" si="43"/>
        <v>0</v>
      </c>
      <c r="P221" s="29">
        <f t="shared" si="44"/>
        <v>0</v>
      </c>
      <c r="Q221" s="29">
        <f>IF(A221&lt;&gt;"",SUM(F$2:F221),Q220)</f>
        <v>8</v>
      </c>
      <c r="R221" s="30">
        <f t="shared" si="53"/>
        <v>0</v>
      </c>
    </row>
    <row r="222" spans="1:18" x14ac:dyDescent="0.25">
      <c r="A222" s="27" t="str">
        <f>IF('Data Sheet'!A222="","",'Data Sheet'!A222)</f>
        <v/>
      </c>
      <c r="B222" s="28" t="str">
        <f>IF('Data Sheet'!B222="","",'Data Sheet'!B222)</f>
        <v/>
      </c>
      <c r="C222" s="28" t="str">
        <f>IF('Data Sheet'!C222="","",'Data Sheet'!C222)</f>
        <v/>
      </c>
      <c r="D222" s="28" t="str">
        <f>IF('Data Sheet'!D222="","",'Data Sheet'!D222)</f>
        <v/>
      </c>
      <c r="E222" s="29" t="str">
        <f t="shared" si="45"/>
        <v>C</v>
      </c>
      <c r="F222" s="51">
        <v>0</v>
      </c>
      <c r="G222" s="49">
        <f t="shared" si="46"/>
        <v>0</v>
      </c>
      <c r="H222" s="49">
        <f t="shared" si="47"/>
        <v>0</v>
      </c>
      <c r="I222" s="49">
        <f t="shared" si="48"/>
        <v>0</v>
      </c>
      <c r="J222" s="49">
        <f t="shared" si="49"/>
        <v>0</v>
      </c>
      <c r="K222" s="49">
        <f t="shared" si="50"/>
        <v>0</v>
      </c>
      <c r="L222" s="49">
        <f t="shared" si="51"/>
        <v>0</v>
      </c>
      <c r="M222" s="49">
        <f t="shared" si="52"/>
        <v>0</v>
      </c>
      <c r="N222" s="29" t="str">
        <f t="shared" si="42"/>
        <v/>
      </c>
      <c r="O222" s="29">
        <f t="shared" si="43"/>
        <v>0</v>
      </c>
      <c r="P222" s="29">
        <f t="shared" si="44"/>
        <v>0</v>
      </c>
      <c r="Q222" s="29">
        <f>IF(A222&lt;&gt;"",SUM(F$2:F222),Q221)</f>
        <v>8</v>
      </c>
      <c r="R222" s="30">
        <f t="shared" si="53"/>
        <v>0</v>
      </c>
    </row>
    <row r="223" spans="1:18" x14ac:dyDescent="0.25">
      <c r="A223" s="27" t="str">
        <f>IF('Data Sheet'!A223="","",'Data Sheet'!A223)</f>
        <v/>
      </c>
      <c r="B223" s="28" t="str">
        <f>IF('Data Sheet'!B223="","",'Data Sheet'!B223)</f>
        <v/>
      </c>
      <c r="C223" s="28" t="str">
        <f>IF('Data Sheet'!C223="","",'Data Sheet'!C223)</f>
        <v/>
      </c>
      <c r="D223" s="28" t="str">
        <f>IF('Data Sheet'!D223="","",'Data Sheet'!D223)</f>
        <v/>
      </c>
      <c r="E223" s="29" t="str">
        <f t="shared" si="45"/>
        <v>C</v>
      </c>
      <c r="F223" s="51">
        <v>0</v>
      </c>
      <c r="G223" s="49">
        <f t="shared" si="46"/>
        <v>0</v>
      </c>
      <c r="H223" s="49">
        <f t="shared" si="47"/>
        <v>0</v>
      </c>
      <c r="I223" s="49">
        <f t="shared" si="48"/>
        <v>0</v>
      </c>
      <c r="J223" s="49">
        <f t="shared" si="49"/>
        <v>0</v>
      </c>
      <c r="K223" s="49">
        <f t="shared" si="50"/>
        <v>0</v>
      </c>
      <c r="L223" s="49">
        <f t="shared" si="51"/>
        <v>0</v>
      </c>
      <c r="M223" s="49">
        <f t="shared" si="52"/>
        <v>0</v>
      </c>
      <c r="N223" s="29" t="str">
        <f t="shared" si="42"/>
        <v/>
      </c>
      <c r="O223" s="29">
        <f t="shared" si="43"/>
        <v>0</v>
      </c>
      <c r="P223" s="29">
        <f t="shared" si="44"/>
        <v>0</v>
      </c>
      <c r="Q223" s="29">
        <f>IF(A223&lt;&gt;"",SUM(F$2:F223),Q222)</f>
        <v>8</v>
      </c>
      <c r="R223" s="30">
        <f t="shared" si="53"/>
        <v>0</v>
      </c>
    </row>
    <row r="224" spans="1:18" x14ac:dyDescent="0.25">
      <c r="A224" s="27" t="str">
        <f>IF('Data Sheet'!A224="","",'Data Sheet'!A224)</f>
        <v/>
      </c>
      <c r="B224" s="28" t="str">
        <f>IF('Data Sheet'!B224="","",'Data Sheet'!B224)</f>
        <v/>
      </c>
      <c r="C224" s="28" t="str">
        <f>IF('Data Sheet'!C224="","",'Data Sheet'!C224)</f>
        <v/>
      </c>
      <c r="D224" s="28" t="str">
        <f>IF('Data Sheet'!D224="","",'Data Sheet'!D224)</f>
        <v/>
      </c>
      <c r="E224" s="29" t="str">
        <f t="shared" si="45"/>
        <v>C</v>
      </c>
      <c r="F224" s="51">
        <v>0</v>
      </c>
      <c r="G224" s="49">
        <f t="shared" si="46"/>
        <v>0</v>
      </c>
      <c r="H224" s="49">
        <f t="shared" si="47"/>
        <v>0</v>
      </c>
      <c r="I224" s="49">
        <f t="shared" si="48"/>
        <v>0</v>
      </c>
      <c r="J224" s="49">
        <f t="shared" si="49"/>
        <v>0</v>
      </c>
      <c r="K224" s="49">
        <f t="shared" si="50"/>
        <v>0</v>
      </c>
      <c r="L224" s="49">
        <f t="shared" si="51"/>
        <v>0</v>
      </c>
      <c r="M224" s="49">
        <f t="shared" si="52"/>
        <v>0</v>
      </c>
      <c r="N224" s="29" t="str">
        <f t="shared" si="42"/>
        <v/>
      </c>
      <c r="O224" s="29">
        <f t="shared" si="43"/>
        <v>0</v>
      </c>
      <c r="P224" s="29">
        <f t="shared" si="44"/>
        <v>0</v>
      </c>
      <c r="Q224" s="29">
        <f>IF(A224&lt;&gt;"",SUM(F$2:F224),Q223)</f>
        <v>8</v>
      </c>
      <c r="R224" s="30">
        <f t="shared" si="53"/>
        <v>0</v>
      </c>
    </row>
    <row r="225" spans="1:18" x14ac:dyDescent="0.25">
      <c r="A225" s="27" t="str">
        <f>IF('Data Sheet'!A225="","",'Data Sheet'!A225)</f>
        <v/>
      </c>
      <c r="B225" s="28" t="str">
        <f>IF('Data Sheet'!B225="","",'Data Sheet'!B225)</f>
        <v/>
      </c>
      <c r="C225" s="28" t="str">
        <f>IF('Data Sheet'!C225="","",'Data Sheet'!C225)</f>
        <v/>
      </c>
      <c r="D225" s="28" t="str">
        <f>IF('Data Sheet'!D225="","",'Data Sheet'!D225)</f>
        <v/>
      </c>
      <c r="E225" s="29" t="str">
        <f t="shared" si="45"/>
        <v>C</v>
      </c>
      <c r="F225" s="51">
        <v>0</v>
      </c>
      <c r="G225" s="49">
        <f t="shared" si="46"/>
        <v>0</v>
      </c>
      <c r="H225" s="49">
        <f t="shared" si="47"/>
        <v>0</v>
      </c>
      <c r="I225" s="49">
        <f t="shared" si="48"/>
        <v>0</v>
      </c>
      <c r="J225" s="49">
        <f t="shared" si="49"/>
        <v>0</v>
      </c>
      <c r="K225" s="49">
        <f t="shared" si="50"/>
        <v>0</v>
      </c>
      <c r="L225" s="49">
        <f t="shared" si="51"/>
        <v>0</v>
      </c>
      <c r="M225" s="49">
        <f t="shared" si="52"/>
        <v>0</v>
      </c>
      <c r="N225" s="29" t="str">
        <f t="shared" si="42"/>
        <v/>
      </c>
      <c r="O225" s="29">
        <f t="shared" si="43"/>
        <v>0</v>
      </c>
      <c r="P225" s="29">
        <f t="shared" si="44"/>
        <v>0</v>
      </c>
      <c r="Q225" s="29">
        <f>IF(A225&lt;&gt;"",SUM(F$2:F225),Q224)</f>
        <v>8</v>
      </c>
      <c r="R225" s="30">
        <f t="shared" si="53"/>
        <v>0</v>
      </c>
    </row>
    <row r="226" spans="1:18" x14ac:dyDescent="0.25">
      <c r="A226" s="27" t="str">
        <f>IF('Data Sheet'!A226="","",'Data Sheet'!A226)</f>
        <v/>
      </c>
      <c r="B226" s="28" t="str">
        <f>IF('Data Sheet'!B226="","",'Data Sheet'!B226)</f>
        <v/>
      </c>
      <c r="C226" s="28" t="str">
        <f>IF('Data Sheet'!C226="","",'Data Sheet'!C226)</f>
        <v/>
      </c>
      <c r="D226" s="28" t="str">
        <f>IF('Data Sheet'!D226="","",'Data Sheet'!D226)</f>
        <v/>
      </c>
      <c r="E226" s="29" t="str">
        <f t="shared" si="45"/>
        <v>C</v>
      </c>
      <c r="F226" s="51">
        <v>0</v>
      </c>
      <c r="G226" s="49">
        <f t="shared" si="46"/>
        <v>0</v>
      </c>
      <c r="H226" s="49">
        <f t="shared" si="47"/>
        <v>0</v>
      </c>
      <c r="I226" s="49">
        <f t="shared" si="48"/>
        <v>0</v>
      </c>
      <c r="J226" s="49">
        <f t="shared" si="49"/>
        <v>0</v>
      </c>
      <c r="K226" s="49">
        <f t="shared" si="50"/>
        <v>0</v>
      </c>
      <c r="L226" s="49">
        <f t="shared" si="51"/>
        <v>0</v>
      </c>
      <c r="M226" s="49">
        <f t="shared" si="52"/>
        <v>0</v>
      </c>
      <c r="N226" s="29" t="str">
        <f t="shared" si="42"/>
        <v/>
      </c>
      <c r="O226" s="29">
        <f t="shared" si="43"/>
        <v>0</v>
      </c>
      <c r="P226" s="29">
        <f t="shared" si="44"/>
        <v>0</v>
      </c>
      <c r="Q226" s="29">
        <f>IF(A226&lt;&gt;"",SUM(F$2:F226),Q225)</f>
        <v>8</v>
      </c>
      <c r="R226" s="30">
        <f t="shared" si="53"/>
        <v>0</v>
      </c>
    </row>
    <row r="227" spans="1:18" x14ac:dyDescent="0.25">
      <c r="A227" s="27" t="str">
        <f>IF('Data Sheet'!A227="","",'Data Sheet'!A227)</f>
        <v/>
      </c>
      <c r="B227" s="28" t="str">
        <f>IF('Data Sheet'!B227="","",'Data Sheet'!B227)</f>
        <v/>
      </c>
      <c r="C227" s="28" t="str">
        <f>IF('Data Sheet'!C227="","",'Data Sheet'!C227)</f>
        <v/>
      </c>
      <c r="D227" s="28" t="str">
        <f>IF('Data Sheet'!D227="","",'Data Sheet'!D227)</f>
        <v/>
      </c>
      <c r="E227" s="29" t="str">
        <f t="shared" si="45"/>
        <v>C</v>
      </c>
      <c r="F227" s="51">
        <v>0</v>
      </c>
      <c r="G227" s="49">
        <f t="shared" si="46"/>
        <v>0</v>
      </c>
      <c r="H227" s="49">
        <f t="shared" si="47"/>
        <v>0</v>
      </c>
      <c r="I227" s="49">
        <f t="shared" si="48"/>
        <v>0</v>
      </c>
      <c r="J227" s="49">
        <f t="shared" si="49"/>
        <v>0</v>
      </c>
      <c r="K227" s="49">
        <f t="shared" si="50"/>
        <v>0</v>
      </c>
      <c r="L227" s="49">
        <f t="shared" si="51"/>
        <v>0</v>
      </c>
      <c r="M227" s="49">
        <f t="shared" si="52"/>
        <v>0</v>
      </c>
      <c r="N227" s="29" t="str">
        <f t="shared" si="42"/>
        <v/>
      </c>
      <c r="O227" s="29">
        <f t="shared" si="43"/>
        <v>0</v>
      </c>
      <c r="P227" s="29">
        <f t="shared" si="44"/>
        <v>0</v>
      </c>
      <c r="Q227" s="29">
        <f>IF(A227&lt;&gt;"",SUM(F$2:F227),Q226)</f>
        <v>8</v>
      </c>
      <c r="R227" s="30">
        <f t="shared" si="53"/>
        <v>0</v>
      </c>
    </row>
    <row r="228" spans="1:18" x14ac:dyDescent="0.25">
      <c r="A228" s="27" t="str">
        <f>IF('Data Sheet'!A228="","",'Data Sheet'!A228)</f>
        <v/>
      </c>
      <c r="B228" s="28" t="str">
        <f>IF('Data Sheet'!B228="","",'Data Sheet'!B228)</f>
        <v/>
      </c>
      <c r="C228" s="28" t="str">
        <f>IF('Data Sheet'!C228="","",'Data Sheet'!C228)</f>
        <v/>
      </c>
      <c r="D228" s="28" t="str">
        <f>IF('Data Sheet'!D228="","",'Data Sheet'!D228)</f>
        <v/>
      </c>
      <c r="E228" s="29" t="str">
        <f t="shared" si="45"/>
        <v>C</v>
      </c>
      <c r="F228" s="51">
        <v>0</v>
      </c>
      <c r="G228" s="49">
        <f t="shared" si="46"/>
        <v>0</v>
      </c>
      <c r="H228" s="49">
        <f t="shared" si="47"/>
        <v>0</v>
      </c>
      <c r="I228" s="49">
        <f t="shared" si="48"/>
        <v>0</v>
      </c>
      <c r="J228" s="49">
        <f t="shared" si="49"/>
        <v>0</v>
      </c>
      <c r="K228" s="49">
        <f t="shared" si="50"/>
        <v>0</v>
      </c>
      <c r="L228" s="49">
        <f t="shared" si="51"/>
        <v>0</v>
      </c>
      <c r="M228" s="49">
        <f t="shared" si="52"/>
        <v>0</v>
      </c>
      <c r="N228" s="29" t="str">
        <f t="shared" si="42"/>
        <v/>
      </c>
      <c r="O228" s="29">
        <f t="shared" si="43"/>
        <v>0</v>
      </c>
      <c r="P228" s="29">
        <f t="shared" si="44"/>
        <v>0</v>
      </c>
      <c r="Q228" s="29">
        <f>IF(A228&lt;&gt;"",SUM(F$2:F228),Q227)</f>
        <v>8</v>
      </c>
      <c r="R228" s="30">
        <f t="shared" si="53"/>
        <v>0</v>
      </c>
    </row>
    <row r="229" spans="1:18" x14ac:dyDescent="0.25">
      <c r="A229" s="27" t="str">
        <f>IF('Data Sheet'!A229="","",'Data Sheet'!A229)</f>
        <v/>
      </c>
      <c r="B229" s="28" t="str">
        <f>IF('Data Sheet'!B229="","",'Data Sheet'!B229)</f>
        <v/>
      </c>
      <c r="C229" s="28" t="str">
        <f>IF('Data Sheet'!C229="","",'Data Sheet'!C229)</f>
        <v/>
      </c>
      <c r="D229" s="28" t="str">
        <f>IF('Data Sheet'!D229="","",'Data Sheet'!D229)</f>
        <v/>
      </c>
      <c r="E229" s="29" t="str">
        <f t="shared" si="45"/>
        <v>C</v>
      </c>
      <c r="F229" s="51">
        <v>0</v>
      </c>
      <c r="G229" s="49">
        <f t="shared" si="46"/>
        <v>0</v>
      </c>
      <c r="H229" s="49">
        <f t="shared" si="47"/>
        <v>0</v>
      </c>
      <c r="I229" s="49">
        <f t="shared" si="48"/>
        <v>0</v>
      </c>
      <c r="J229" s="49">
        <f t="shared" si="49"/>
        <v>0</v>
      </c>
      <c r="K229" s="49">
        <f t="shared" si="50"/>
        <v>0</v>
      </c>
      <c r="L229" s="49">
        <f t="shared" si="51"/>
        <v>0</v>
      </c>
      <c r="M229" s="49">
        <f t="shared" si="52"/>
        <v>0</v>
      </c>
      <c r="N229" s="29" t="str">
        <f t="shared" si="42"/>
        <v/>
      </c>
      <c r="O229" s="29">
        <f t="shared" si="43"/>
        <v>0</v>
      </c>
      <c r="P229" s="29">
        <f t="shared" si="44"/>
        <v>0</v>
      </c>
      <c r="Q229" s="29">
        <f>IF(A229&lt;&gt;"",SUM(F$2:F229),Q228)</f>
        <v>8</v>
      </c>
      <c r="R229" s="30">
        <f t="shared" si="53"/>
        <v>0</v>
      </c>
    </row>
    <row r="230" spans="1:18" x14ac:dyDescent="0.25">
      <c r="A230" s="27" t="str">
        <f>IF('Data Sheet'!A230="","",'Data Sheet'!A230)</f>
        <v/>
      </c>
      <c r="B230" s="28" t="str">
        <f>IF('Data Sheet'!B230="","",'Data Sheet'!B230)</f>
        <v/>
      </c>
      <c r="C230" s="28" t="str">
        <f>IF('Data Sheet'!C230="","",'Data Sheet'!C230)</f>
        <v/>
      </c>
      <c r="D230" s="28" t="str">
        <f>IF('Data Sheet'!D230="","",'Data Sheet'!D230)</f>
        <v/>
      </c>
      <c r="E230" s="29" t="str">
        <f t="shared" si="45"/>
        <v>C</v>
      </c>
      <c r="F230" s="51">
        <v>0</v>
      </c>
      <c r="G230" s="49">
        <f t="shared" si="46"/>
        <v>0</v>
      </c>
      <c r="H230" s="49">
        <f t="shared" si="47"/>
        <v>0</v>
      </c>
      <c r="I230" s="49">
        <f t="shared" si="48"/>
        <v>0</v>
      </c>
      <c r="J230" s="49">
        <f t="shared" si="49"/>
        <v>0</v>
      </c>
      <c r="K230" s="49">
        <f t="shared" si="50"/>
        <v>0</v>
      </c>
      <c r="L230" s="49">
        <f t="shared" si="51"/>
        <v>0</v>
      </c>
      <c r="M230" s="49">
        <f t="shared" si="52"/>
        <v>0</v>
      </c>
      <c r="N230" s="29" t="str">
        <f t="shared" si="42"/>
        <v/>
      </c>
      <c r="O230" s="29">
        <f t="shared" si="43"/>
        <v>0</v>
      </c>
      <c r="P230" s="29">
        <f t="shared" si="44"/>
        <v>0</v>
      </c>
      <c r="Q230" s="29">
        <f>IF(A230&lt;&gt;"",SUM(F$2:F230),Q229)</f>
        <v>8</v>
      </c>
      <c r="R230" s="30">
        <f t="shared" si="53"/>
        <v>0</v>
      </c>
    </row>
    <row r="231" spans="1:18" x14ac:dyDescent="0.25">
      <c r="A231" s="27" t="str">
        <f>IF('Data Sheet'!A231="","",'Data Sheet'!A231)</f>
        <v/>
      </c>
      <c r="B231" s="28" t="str">
        <f>IF('Data Sheet'!B231="","",'Data Sheet'!B231)</f>
        <v/>
      </c>
      <c r="C231" s="28" t="str">
        <f>IF('Data Sheet'!C231="","",'Data Sheet'!C231)</f>
        <v/>
      </c>
      <c r="D231" s="28" t="str">
        <f>IF('Data Sheet'!D231="","",'Data Sheet'!D231)</f>
        <v/>
      </c>
      <c r="E231" s="29" t="str">
        <f t="shared" si="45"/>
        <v>C</v>
      </c>
      <c r="F231" s="51">
        <v>0</v>
      </c>
      <c r="G231" s="49">
        <f t="shared" si="46"/>
        <v>0</v>
      </c>
      <c r="H231" s="49">
        <f t="shared" si="47"/>
        <v>0</v>
      </c>
      <c r="I231" s="49">
        <f t="shared" si="48"/>
        <v>0</v>
      </c>
      <c r="J231" s="49">
        <f t="shared" si="49"/>
        <v>0</v>
      </c>
      <c r="K231" s="49">
        <f t="shared" si="50"/>
        <v>0</v>
      </c>
      <c r="L231" s="49">
        <f t="shared" si="51"/>
        <v>0</v>
      </c>
      <c r="M231" s="49">
        <f t="shared" si="52"/>
        <v>0</v>
      </c>
      <c r="N231" s="29" t="str">
        <f t="shared" si="42"/>
        <v/>
      </c>
      <c r="O231" s="29">
        <f t="shared" si="43"/>
        <v>0</v>
      </c>
      <c r="P231" s="29">
        <f t="shared" si="44"/>
        <v>0</v>
      </c>
      <c r="Q231" s="29">
        <f>IF(A231&lt;&gt;"",SUM(F$2:F231),Q230)</f>
        <v>8</v>
      </c>
      <c r="R231" s="30">
        <f t="shared" si="53"/>
        <v>0</v>
      </c>
    </row>
    <row r="232" spans="1:18" x14ac:dyDescent="0.25">
      <c r="A232" s="27" t="str">
        <f>IF('Data Sheet'!A232="","",'Data Sheet'!A232)</f>
        <v/>
      </c>
      <c r="B232" s="28" t="str">
        <f>IF('Data Sheet'!B232="","",'Data Sheet'!B232)</f>
        <v/>
      </c>
      <c r="C232" s="28" t="str">
        <f>IF('Data Sheet'!C232="","",'Data Sheet'!C232)</f>
        <v/>
      </c>
      <c r="D232" s="28" t="str">
        <f>IF('Data Sheet'!D232="","",'Data Sheet'!D232)</f>
        <v/>
      </c>
      <c r="E232" s="29" t="str">
        <f t="shared" si="45"/>
        <v>C</v>
      </c>
      <c r="F232" s="51">
        <v>0</v>
      </c>
      <c r="G232" s="49">
        <f t="shared" si="46"/>
        <v>0</v>
      </c>
      <c r="H232" s="49">
        <f t="shared" si="47"/>
        <v>0</v>
      </c>
      <c r="I232" s="49">
        <f t="shared" si="48"/>
        <v>0</v>
      </c>
      <c r="J232" s="49">
        <f t="shared" si="49"/>
        <v>0</v>
      </c>
      <c r="K232" s="49">
        <f t="shared" si="50"/>
        <v>0</v>
      </c>
      <c r="L232" s="49">
        <f t="shared" si="51"/>
        <v>0</v>
      </c>
      <c r="M232" s="49">
        <f t="shared" si="52"/>
        <v>0</v>
      </c>
      <c r="N232" s="29" t="str">
        <f t="shared" si="42"/>
        <v/>
      </c>
      <c r="O232" s="29">
        <f t="shared" si="43"/>
        <v>0</v>
      </c>
      <c r="P232" s="29">
        <f t="shared" si="44"/>
        <v>0</v>
      </c>
      <c r="Q232" s="29">
        <f>IF(A232&lt;&gt;"",SUM(F$2:F232),Q231)</f>
        <v>8</v>
      </c>
      <c r="R232" s="30">
        <f t="shared" si="53"/>
        <v>0</v>
      </c>
    </row>
    <row r="233" spans="1:18" x14ac:dyDescent="0.25">
      <c r="A233" s="27" t="str">
        <f>IF('Data Sheet'!A233="","",'Data Sheet'!A233)</f>
        <v/>
      </c>
      <c r="B233" s="28" t="str">
        <f>IF('Data Sheet'!B233="","",'Data Sheet'!B233)</f>
        <v/>
      </c>
      <c r="C233" s="28" t="str">
        <f>IF('Data Sheet'!C233="","",'Data Sheet'!C233)</f>
        <v/>
      </c>
      <c r="D233" s="28" t="str">
        <f>IF('Data Sheet'!D233="","",'Data Sheet'!D233)</f>
        <v/>
      </c>
      <c r="E233" s="29" t="str">
        <f t="shared" si="45"/>
        <v>C</v>
      </c>
      <c r="F233" s="51">
        <v>0</v>
      </c>
      <c r="G233" s="49">
        <f t="shared" si="46"/>
        <v>0</v>
      </c>
      <c r="H233" s="49">
        <f t="shared" si="47"/>
        <v>0</v>
      </c>
      <c r="I233" s="49">
        <f t="shared" si="48"/>
        <v>0</v>
      </c>
      <c r="J233" s="49">
        <f t="shared" si="49"/>
        <v>0</v>
      </c>
      <c r="K233" s="49">
        <f t="shared" si="50"/>
        <v>0</v>
      </c>
      <c r="L233" s="49">
        <f t="shared" si="51"/>
        <v>0</v>
      </c>
      <c r="M233" s="49">
        <f t="shared" si="52"/>
        <v>0</v>
      </c>
      <c r="N233" s="29" t="str">
        <f t="shared" si="42"/>
        <v/>
      </c>
      <c r="O233" s="29">
        <f t="shared" si="43"/>
        <v>0</v>
      </c>
      <c r="P233" s="29">
        <f t="shared" si="44"/>
        <v>0</v>
      </c>
      <c r="Q233" s="29">
        <f>IF(A233&lt;&gt;"",SUM(F$2:F233),Q232)</f>
        <v>8</v>
      </c>
      <c r="R233" s="30">
        <f t="shared" si="53"/>
        <v>0</v>
      </c>
    </row>
    <row r="234" spans="1:18" x14ac:dyDescent="0.25">
      <c r="A234" s="27" t="str">
        <f>IF('Data Sheet'!A234="","",'Data Sheet'!A234)</f>
        <v/>
      </c>
      <c r="B234" s="28" t="str">
        <f>IF('Data Sheet'!B234="","",'Data Sheet'!B234)</f>
        <v/>
      </c>
      <c r="C234" s="28" t="str">
        <f>IF('Data Sheet'!C234="","",'Data Sheet'!C234)</f>
        <v/>
      </c>
      <c r="D234" s="28" t="str">
        <f>IF('Data Sheet'!D234="","",'Data Sheet'!D234)</f>
        <v/>
      </c>
      <c r="E234" s="29" t="str">
        <f t="shared" si="45"/>
        <v>C</v>
      </c>
      <c r="F234" s="51">
        <v>0</v>
      </c>
      <c r="G234" s="49">
        <f t="shared" si="46"/>
        <v>0</v>
      </c>
      <c r="H234" s="49">
        <f t="shared" si="47"/>
        <v>0</v>
      </c>
      <c r="I234" s="49">
        <f t="shared" si="48"/>
        <v>0</v>
      </c>
      <c r="J234" s="49">
        <f t="shared" si="49"/>
        <v>0</v>
      </c>
      <c r="K234" s="49">
        <f t="shared" si="50"/>
        <v>0</v>
      </c>
      <c r="L234" s="49">
        <f t="shared" si="51"/>
        <v>0</v>
      </c>
      <c r="M234" s="49">
        <f t="shared" si="52"/>
        <v>0</v>
      </c>
      <c r="N234" s="29" t="str">
        <f t="shared" si="42"/>
        <v/>
      </c>
      <c r="O234" s="29">
        <f t="shared" si="43"/>
        <v>0</v>
      </c>
      <c r="P234" s="29">
        <f t="shared" si="44"/>
        <v>0</v>
      </c>
      <c r="Q234" s="29">
        <f>IF(A234&lt;&gt;"",SUM(F$2:F234),Q233)</f>
        <v>8</v>
      </c>
      <c r="R234" s="30">
        <f t="shared" si="53"/>
        <v>0</v>
      </c>
    </row>
    <row r="235" spans="1:18" x14ac:dyDescent="0.25">
      <c r="A235" s="27" t="str">
        <f>IF('Data Sheet'!A235="","",'Data Sheet'!A235)</f>
        <v/>
      </c>
      <c r="B235" s="28" t="str">
        <f>IF('Data Sheet'!B235="","",'Data Sheet'!B235)</f>
        <v/>
      </c>
      <c r="C235" s="28" t="str">
        <f>IF('Data Sheet'!C235="","",'Data Sheet'!C235)</f>
        <v/>
      </c>
      <c r="D235" s="28" t="str">
        <f>IF('Data Sheet'!D235="","",'Data Sheet'!D235)</f>
        <v/>
      </c>
      <c r="E235" s="29" t="str">
        <f t="shared" si="45"/>
        <v>C</v>
      </c>
      <c r="F235" s="51">
        <v>0</v>
      </c>
      <c r="G235" s="49">
        <f t="shared" si="46"/>
        <v>0</v>
      </c>
      <c r="H235" s="49">
        <f t="shared" si="47"/>
        <v>0</v>
      </c>
      <c r="I235" s="49">
        <f t="shared" si="48"/>
        <v>0</v>
      </c>
      <c r="J235" s="49">
        <f t="shared" si="49"/>
        <v>0</v>
      </c>
      <c r="K235" s="49">
        <f t="shared" si="50"/>
        <v>0</v>
      </c>
      <c r="L235" s="49">
        <f t="shared" si="51"/>
        <v>0</v>
      </c>
      <c r="M235" s="49">
        <f t="shared" si="52"/>
        <v>0</v>
      </c>
      <c r="N235" s="29" t="str">
        <f t="shared" si="42"/>
        <v/>
      </c>
      <c r="O235" s="29">
        <f t="shared" si="43"/>
        <v>0</v>
      </c>
      <c r="P235" s="29">
        <f t="shared" si="44"/>
        <v>0</v>
      </c>
      <c r="Q235" s="29">
        <f>IF(A235&lt;&gt;"",SUM(F$2:F235),Q234)</f>
        <v>8</v>
      </c>
      <c r="R235" s="30">
        <f t="shared" si="53"/>
        <v>0</v>
      </c>
    </row>
    <row r="236" spans="1:18" x14ac:dyDescent="0.25">
      <c r="A236" s="27" t="str">
        <f>IF('Data Sheet'!A236="","",'Data Sheet'!A236)</f>
        <v/>
      </c>
      <c r="B236" s="28" t="str">
        <f>IF('Data Sheet'!B236="","",'Data Sheet'!B236)</f>
        <v/>
      </c>
      <c r="C236" s="28" t="str">
        <f>IF('Data Sheet'!C236="","",'Data Sheet'!C236)</f>
        <v/>
      </c>
      <c r="D236" s="28" t="str">
        <f>IF('Data Sheet'!D236="","",'Data Sheet'!D236)</f>
        <v/>
      </c>
      <c r="E236" s="29" t="str">
        <f t="shared" si="45"/>
        <v>C</v>
      </c>
      <c r="F236" s="51">
        <v>0</v>
      </c>
      <c r="G236" s="49">
        <f t="shared" si="46"/>
        <v>0</v>
      </c>
      <c r="H236" s="49">
        <f t="shared" si="47"/>
        <v>0</v>
      </c>
      <c r="I236" s="49">
        <f t="shared" si="48"/>
        <v>0</v>
      </c>
      <c r="J236" s="49">
        <f t="shared" si="49"/>
        <v>0</v>
      </c>
      <c r="K236" s="49">
        <f t="shared" si="50"/>
        <v>0</v>
      </c>
      <c r="L236" s="49">
        <f t="shared" si="51"/>
        <v>0</v>
      </c>
      <c r="M236" s="49">
        <f t="shared" si="52"/>
        <v>0</v>
      </c>
      <c r="N236" s="29" t="str">
        <f t="shared" si="42"/>
        <v/>
      </c>
      <c r="O236" s="29">
        <f t="shared" si="43"/>
        <v>0</v>
      </c>
      <c r="P236" s="29">
        <f t="shared" si="44"/>
        <v>0</v>
      </c>
      <c r="Q236" s="29">
        <f>IF(A236&lt;&gt;"",SUM(F$2:F236),Q235)</f>
        <v>8</v>
      </c>
      <c r="R236" s="30">
        <f t="shared" si="53"/>
        <v>0</v>
      </c>
    </row>
    <row r="237" spans="1:18" x14ac:dyDescent="0.25">
      <c r="A237" s="27" t="str">
        <f>IF('Data Sheet'!A237="","",'Data Sheet'!A237)</f>
        <v/>
      </c>
      <c r="B237" s="28" t="str">
        <f>IF('Data Sheet'!B237="","",'Data Sheet'!B237)</f>
        <v/>
      </c>
      <c r="C237" s="28" t="str">
        <f>IF('Data Sheet'!C237="","",'Data Sheet'!C237)</f>
        <v/>
      </c>
      <c r="D237" s="28" t="str">
        <f>IF('Data Sheet'!D237="","",'Data Sheet'!D237)</f>
        <v/>
      </c>
      <c r="E237" s="29" t="str">
        <f t="shared" si="45"/>
        <v>C</v>
      </c>
      <c r="F237" s="51">
        <v>0</v>
      </c>
      <c r="G237" s="49">
        <f t="shared" si="46"/>
        <v>0</v>
      </c>
      <c r="H237" s="49">
        <f t="shared" si="47"/>
        <v>0</v>
      </c>
      <c r="I237" s="49">
        <f t="shared" si="48"/>
        <v>0</v>
      </c>
      <c r="J237" s="49">
        <f t="shared" si="49"/>
        <v>0</v>
      </c>
      <c r="K237" s="49">
        <f t="shared" si="50"/>
        <v>0</v>
      </c>
      <c r="L237" s="49">
        <f t="shared" si="51"/>
        <v>0</v>
      </c>
      <c r="M237" s="49">
        <f t="shared" si="52"/>
        <v>0</v>
      </c>
      <c r="N237" s="29" t="str">
        <f t="shared" si="42"/>
        <v/>
      </c>
      <c r="O237" s="29">
        <f t="shared" si="43"/>
        <v>0</v>
      </c>
      <c r="P237" s="29">
        <f t="shared" si="44"/>
        <v>0</v>
      </c>
      <c r="Q237" s="29">
        <f>IF(A237&lt;&gt;"",SUM(F$2:F237),Q236)</f>
        <v>8</v>
      </c>
      <c r="R237" s="30">
        <f t="shared" si="53"/>
        <v>0</v>
      </c>
    </row>
    <row r="238" spans="1:18" x14ac:dyDescent="0.25">
      <c r="A238" s="27" t="str">
        <f>IF('Data Sheet'!A238="","",'Data Sheet'!A238)</f>
        <v/>
      </c>
      <c r="B238" s="28" t="str">
        <f>IF('Data Sheet'!B238="","",'Data Sheet'!B238)</f>
        <v/>
      </c>
      <c r="C238" s="28" t="str">
        <f>IF('Data Sheet'!C238="","",'Data Sheet'!C238)</f>
        <v/>
      </c>
      <c r="D238" s="28" t="str">
        <f>IF('Data Sheet'!D238="","",'Data Sheet'!D238)</f>
        <v/>
      </c>
      <c r="E238" s="29" t="str">
        <f t="shared" si="45"/>
        <v>C</v>
      </c>
      <c r="F238" s="51">
        <v>0</v>
      </c>
      <c r="G238" s="49">
        <f t="shared" si="46"/>
        <v>0</v>
      </c>
      <c r="H238" s="49">
        <f t="shared" si="47"/>
        <v>0</v>
      </c>
      <c r="I238" s="49">
        <f t="shared" si="48"/>
        <v>0</v>
      </c>
      <c r="J238" s="49">
        <f t="shared" si="49"/>
        <v>0</v>
      </c>
      <c r="K238" s="49">
        <f t="shared" si="50"/>
        <v>0</v>
      </c>
      <c r="L238" s="49">
        <f t="shared" si="51"/>
        <v>0</v>
      </c>
      <c r="M238" s="49">
        <f t="shared" si="52"/>
        <v>0</v>
      </c>
      <c r="N238" s="29" t="str">
        <f t="shared" si="42"/>
        <v/>
      </c>
      <c r="O238" s="29">
        <f t="shared" si="43"/>
        <v>0</v>
      </c>
      <c r="P238" s="29">
        <f t="shared" si="44"/>
        <v>0</v>
      </c>
      <c r="Q238" s="29">
        <f>IF(A238&lt;&gt;"",SUM(F$2:F238),Q237)</f>
        <v>8</v>
      </c>
      <c r="R238" s="30">
        <f t="shared" si="53"/>
        <v>0</v>
      </c>
    </row>
    <row r="239" spans="1:18" x14ac:dyDescent="0.25">
      <c r="A239" s="27" t="str">
        <f>IF('Data Sheet'!A239="","",'Data Sheet'!A239)</f>
        <v/>
      </c>
      <c r="B239" s="28" t="str">
        <f>IF('Data Sheet'!B239="","",'Data Sheet'!B239)</f>
        <v/>
      </c>
      <c r="C239" s="28" t="str">
        <f>IF('Data Sheet'!C239="","",'Data Sheet'!C239)</f>
        <v/>
      </c>
      <c r="D239" s="28" t="str">
        <f>IF('Data Sheet'!D239="","",'Data Sheet'!D239)</f>
        <v/>
      </c>
      <c r="E239" s="29" t="str">
        <f t="shared" si="45"/>
        <v>C</v>
      </c>
      <c r="F239" s="51">
        <v>0</v>
      </c>
      <c r="G239" s="49">
        <f t="shared" si="46"/>
        <v>0</v>
      </c>
      <c r="H239" s="49">
        <f t="shared" si="47"/>
        <v>0</v>
      </c>
      <c r="I239" s="49">
        <f t="shared" si="48"/>
        <v>0</v>
      </c>
      <c r="J239" s="49">
        <f t="shared" si="49"/>
        <v>0</v>
      </c>
      <c r="K239" s="49">
        <f t="shared" si="50"/>
        <v>0</v>
      </c>
      <c r="L239" s="49">
        <f t="shared" si="51"/>
        <v>0</v>
      </c>
      <c r="M239" s="49">
        <f t="shared" si="52"/>
        <v>0</v>
      </c>
      <c r="N239" s="29" t="str">
        <f t="shared" si="42"/>
        <v/>
      </c>
      <c r="O239" s="29">
        <f t="shared" si="43"/>
        <v>0</v>
      </c>
      <c r="P239" s="29">
        <f t="shared" si="44"/>
        <v>0</v>
      </c>
      <c r="Q239" s="29">
        <f>IF(A239&lt;&gt;"",SUM(F$2:F239),Q238)</f>
        <v>8</v>
      </c>
      <c r="R239" s="30">
        <f t="shared" si="53"/>
        <v>0</v>
      </c>
    </row>
    <row r="240" spans="1:18" x14ac:dyDescent="0.25">
      <c r="A240" s="27" t="str">
        <f>IF('Data Sheet'!A240="","",'Data Sheet'!A240)</f>
        <v/>
      </c>
      <c r="B240" s="28" t="str">
        <f>IF('Data Sheet'!B240="","",'Data Sheet'!B240)</f>
        <v/>
      </c>
      <c r="C240" s="28" t="str">
        <f>IF('Data Sheet'!C240="","",'Data Sheet'!C240)</f>
        <v/>
      </c>
      <c r="D240" s="28" t="str">
        <f>IF('Data Sheet'!D240="","",'Data Sheet'!D240)</f>
        <v/>
      </c>
      <c r="E240" s="29" t="str">
        <f t="shared" si="45"/>
        <v>C</v>
      </c>
      <c r="F240" s="51">
        <v>0</v>
      </c>
      <c r="G240" s="49">
        <f t="shared" si="46"/>
        <v>0</v>
      </c>
      <c r="H240" s="49">
        <f t="shared" si="47"/>
        <v>0</v>
      </c>
      <c r="I240" s="49">
        <f t="shared" si="48"/>
        <v>0</v>
      </c>
      <c r="J240" s="49">
        <f t="shared" si="49"/>
        <v>0</v>
      </c>
      <c r="K240" s="49">
        <f t="shared" si="50"/>
        <v>0</v>
      </c>
      <c r="L240" s="49">
        <f t="shared" si="51"/>
        <v>0</v>
      </c>
      <c r="M240" s="49">
        <f t="shared" si="52"/>
        <v>0</v>
      </c>
      <c r="N240" s="29" t="str">
        <f t="shared" si="42"/>
        <v/>
      </c>
      <c r="O240" s="29">
        <f t="shared" si="43"/>
        <v>0</v>
      </c>
      <c r="P240" s="29">
        <f t="shared" si="44"/>
        <v>0</v>
      </c>
      <c r="Q240" s="29">
        <f>IF(A240&lt;&gt;"",SUM(F$2:F240),Q239)</f>
        <v>8</v>
      </c>
      <c r="R240" s="30">
        <f t="shared" si="53"/>
        <v>0</v>
      </c>
    </row>
    <row r="241" spans="1:18" x14ac:dyDescent="0.25">
      <c r="A241" s="27" t="str">
        <f>IF('Data Sheet'!A241="","",'Data Sheet'!A241)</f>
        <v/>
      </c>
      <c r="B241" s="28" t="str">
        <f>IF('Data Sheet'!B241="","",'Data Sheet'!B241)</f>
        <v/>
      </c>
      <c r="C241" s="28" t="str">
        <f>IF('Data Sheet'!C241="","",'Data Sheet'!C241)</f>
        <v/>
      </c>
      <c r="D241" s="28" t="str">
        <f>IF('Data Sheet'!D241="","",'Data Sheet'!D241)</f>
        <v/>
      </c>
      <c r="E241" s="29" t="str">
        <f t="shared" si="45"/>
        <v>C</v>
      </c>
      <c r="F241" s="51">
        <v>0</v>
      </c>
      <c r="G241" s="49">
        <f t="shared" si="46"/>
        <v>0</v>
      </c>
      <c r="H241" s="49">
        <f t="shared" si="47"/>
        <v>0</v>
      </c>
      <c r="I241" s="49">
        <f t="shared" si="48"/>
        <v>0</v>
      </c>
      <c r="J241" s="49">
        <f t="shared" si="49"/>
        <v>0</v>
      </c>
      <c r="K241" s="49">
        <f t="shared" si="50"/>
        <v>0</v>
      </c>
      <c r="L241" s="49">
        <f t="shared" si="51"/>
        <v>0</v>
      </c>
      <c r="M241" s="49">
        <f t="shared" si="52"/>
        <v>0</v>
      </c>
      <c r="N241" s="29" t="str">
        <f t="shared" si="42"/>
        <v/>
      </c>
      <c r="O241" s="29">
        <f t="shared" si="43"/>
        <v>0</v>
      </c>
      <c r="P241" s="29">
        <f t="shared" si="44"/>
        <v>0</v>
      </c>
      <c r="Q241" s="29">
        <f>IF(A241&lt;&gt;"",SUM(F$2:F241),Q240)</f>
        <v>8</v>
      </c>
      <c r="R241" s="30">
        <f t="shared" si="53"/>
        <v>0</v>
      </c>
    </row>
    <row r="242" spans="1:18" x14ac:dyDescent="0.25">
      <c r="A242" s="27" t="str">
        <f>IF('Data Sheet'!A242="","",'Data Sheet'!A242)</f>
        <v/>
      </c>
      <c r="B242" s="28" t="str">
        <f>IF('Data Sheet'!B242="","",'Data Sheet'!B242)</f>
        <v/>
      </c>
      <c r="C242" s="28" t="str">
        <f>IF('Data Sheet'!C242="","",'Data Sheet'!C242)</f>
        <v/>
      </c>
      <c r="D242" s="28" t="str">
        <f>IF('Data Sheet'!D242="","",'Data Sheet'!D242)</f>
        <v/>
      </c>
      <c r="E242" s="29" t="str">
        <f t="shared" si="45"/>
        <v>C</v>
      </c>
      <c r="F242" s="51">
        <v>0</v>
      </c>
      <c r="G242" s="49">
        <f t="shared" si="46"/>
        <v>0</v>
      </c>
      <c r="H242" s="49">
        <f t="shared" si="47"/>
        <v>0</v>
      </c>
      <c r="I242" s="49">
        <f t="shared" si="48"/>
        <v>0</v>
      </c>
      <c r="J242" s="49">
        <f t="shared" si="49"/>
        <v>0</v>
      </c>
      <c r="K242" s="49">
        <f t="shared" si="50"/>
        <v>0</v>
      </c>
      <c r="L242" s="49">
        <f t="shared" si="51"/>
        <v>0</v>
      </c>
      <c r="M242" s="49">
        <f t="shared" si="52"/>
        <v>0</v>
      </c>
      <c r="N242" s="29" t="str">
        <f t="shared" si="42"/>
        <v/>
      </c>
      <c r="O242" s="29">
        <f t="shared" si="43"/>
        <v>0</v>
      </c>
      <c r="P242" s="29">
        <f t="shared" si="44"/>
        <v>0</v>
      </c>
      <c r="Q242" s="29">
        <f>IF(A242&lt;&gt;"",SUM(F$2:F242),Q241)</f>
        <v>8</v>
      </c>
      <c r="R242" s="30">
        <f t="shared" si="53"/>
        <v>0</v>
      </c>
    </row>
    <row r="243" spans="1:18" x14ac:dyDescent="0.25">
      <c r="A243" s="27" t="str">
        <f>IF('Data Sheet'!A243="","",'Data Sheet'!A243)</f>
        <v/>
      </c>
      <c r="B243" s="28" t="str">
        <f>IF('Data Sheet'!B243="","",'Data Sheet'!B243)</f>
        <v/>
      </c>
      <c r="C243" s="28" t="str">
        <f>IF('Data Sheet'!C243="","",'Data Sheet'!C243)</f>
        <v/>
      </c>
      <c r="D243" s="28" t="str">
        <f>IF('Data Sheet'!D243="","",'Data Sheet'!D243)</f>
        <v/>
      </c>
      <c r="E243" s="29" t="str">
        <f t="shared" si="45"/>
        <v>C</v>
      </c>
      <c r="F243" s="51">
        <v>0</v>
      </c>
      <c r="G243" s="49">
        <f t="shared" si="46"/>
        <v>0</v>
      </c>
      <c r="H243" s="49">
        <f t="shared" si="47"/>
        <v>0</v>
      </c>
      <c r="I243" s="49">
        <f t="shared" si="48"/>
        <v>0</v>
      </c>
      <c r="J243" s="49">
        <f t="shared" si="49"/>
        <v>0</v>
      </c>
      <c r="K243" s="49">
        <f t="shared" si="50"/>
        <v>0</v>
      </c>
      <c r="L243" s="49">
        <f t="shared" si="51"/>
        <v>0</v>
      </c>
      <c r="M243" s="49">
        <f t="shared" si="52"/>
        <v>0</v>
      </c>
      <c r="N243" s="29" t="str">
        <f t="shared" si="42"/>
        <v/>
      </c>
      <c r="O243" s="29">
        <f t="shared" si="43"/>
        <v>0</v>
      </c>
      <c r="P243" s="29">
        <f t="shared" si="44"/>
        <v>0</v>
      </c>
      <c r="Q243" s="29">
        <f>IF(A243&lt;&gt;"",SUM(F$2:F243),Q242)</f>
        <v>8</v>
      </c>
      <c r="R243" s="30">
        <f t="shared" si="53"/>
        <v>0</v>
      </c>
    </row>
    <row r="244" spans="1:18" x14ac:dyDescent="0.25">
      <c r="A244" s="27" t="str">
        <f>IF('Data Sheet'!A244="","",'Data Sheet'!A244)</f>
        <v/>
      </c>
      <c r="B244" s="28" t="str">
        <f>IF('Data Sheet'!B244="","",'Data Sheet'!B244)</f>
        <v/>
      </c>
      <c r="C244" s="28" t="str">
        <f>IF('Data Sheet'!C244="","",'Data Sheet'!C244)</f>
        <v/>
      </c>
      <c r="D244" s="28" t="str">
        <f>IF('Data Sheet'!D244="","",'Data Sheet'!D244)</f>
        <v/>
      </c>
      <c r="E244" s="29" t="str">
        <f t="shared" si="45"/>
        <v>C</v>
      </c>
      <c r="F244" s="51">
        <v>0</v>
      </c>
      <c r="G244" s="49">
        <f t="shared" si="46"/>
        <v>0</v>
      </c>
      <c r="H244" s="49">
        <f t="shared" si="47"/>
        <v>0</v>
      </c>
      <c r="I244" s="49">
        <f t="shared" si="48"/>
        <v>0</v>
      </c>
      <c r="J244" s="49">
        <f t="shared" si="49"/>
        <v>0</v>
      </c>
      <c r="K244" s="49">
        <f t="shared" si="50"/>
        <v>0</v>
      </c>
      <c r="L244" s="49">
        <f t="shared" si="51"/>
        <v>0</v>
      </c>
      <c r="M244" s="49">
        <f t="shared" si="52"/>
        <v>0</v>
      </c>
      <c r="N244" s="29" t="str">
        <f t="shared" si="42"/>
        <v/>
      </c>
      <c r="O244" s="29">
        <f t="shared" si="43"/>
        <v>0</v>
      </c>
      <c r="P244" s="29">
        <f t="shared" si="44"/>
        <v>0</v>
      </c>
      <c r="Q244" s="29">
        <f>IF(A244&lt;&gt;"",SUM(F$2:F244),Q243)</f>
        <v>8</v>
      </c>
      <c r="R244" s="30">
        <f t="shared" si="53"/>
        <v>0</v>
      </c>
    </row>
    <row r="245" spans="1:18" x14ac:dyDescent="0.25">
      <c r="A245" s="27" t="str">
        <f>IF('Data Sheet'!A245="","",'Data Sheet'!A245)</f>
        <v/>
      </c>
      <c r="B245" s="28" t="str">
        <f>IF('Data Sheet'!B245="","",'Data Sheet'!B245)</f>
        <v/>
      </c>
      <c r="C245" s="28" t="str">
        <f>IF('Data Sheet'!C245="","",'Data Sheet'!C245)</f>
        <v/>
      </c>
      <c r="D245" s="28" t="str">
        <f>IF('Data Sheet'!D245="","",'Data Sheet'!D245)</f>
        <v/>
      </c>
      <c r="E245" s="29" t="str">
        <f t="shared" si="45"/>
        <v>C</v>
      </c>
      <c r="F245" s="51">
        <v>0</v>
      </c>
      <c r="G245" s="49">
        <f t="shared" si="46"/>
        <v>0</v>
      </c>
      <c r="H245" s="49">
        <f t="shared" si="47"/>
        <v>0</v>
      </c>
      <c r="I245" s="49">
        <f t="shared" si="48"/>
        <v>0</v>
      </c>
      <c r="J245" s="49">
        <f t="shared" si="49"/>
        <v>0</v>
      </c>
      <c r="K245" s="49">
        <f t="shared" si="50"/>
        <v>0</v>
      </c>
      <c r="L245" s="49">
        <f t="shared" si="51"/>
        <v>0</v>
      </c>
      <c r="M245" s="49">
        <f t="shared" si="52"/>
        <v>0</v>
      </c>
      <c r="N245" s="29" t="str">
        <f t="shared" si="42"/>
        <v/>
      </c>
      <c r="O245" s="29">
        <f t="shared" si="43"/>
        <v>0</v>
      </c>
      <c r="P245" s="29">
        <f t="shared" si="44"/>
        <v>0</v>
      </c>
      <c r="Q245" s="29">
        <f>IF(A245&lt;&gt;"",SUM(F$2:F245),Q244)</f>
        <v>8</v>
      </c>
      <c r="R245" s="30">
        <f t="shared" si="53"/>
        <v>0</v>
      </c>
    </row>
    <row r="246" spans="1:18" x14ac:dyDescent="0.25">
      <c r="A246" s="27" t="str">
        <f>IF('Data Sheet'!A246="","",'Data Sheet'!A246)</f>
        <v/>
      </c>
      <c r="B246" s="28" t="str">
        <f>IF('Data Sheet'!B246="","",'Data Sheet'!B246)</f>
        <v/>
      </c>
      <c r="C246" s="28" t="str">
        <f>IF('Data Sheet'!C246="","",'Data Sheet'!C246)</f>
        <v/>
      </c>
      <c r="D246" s="28" t="str">
        <f>IF('Data Sheet'!D246="","",'Data Sheet'!D246)</f>
        <v/>
      </c>
      <c r="E246" s="29" t="str">
        <f t="shared" si="45"/>
        <v>C</v>
      </c>
      <c r="F246" s="51">
        <v>0</v>
      </c>
      <c r="G246" s="49">
        <f t="shared" si="46"/>
        <v>0</v>
      </c>
      <c r="H246" s="49">
        <f t="shared" si="47"/>
        <v>0</v>
      </c>
      <c r="I246" s="49">
        <f t="shared" si="48"/>
        <v>0</v>
      </c>
      <c r="J246" s="49">
        <f t="shared" si="49"/>
        <v>0</v>
      </c>
      <c r="K246" s="49">
        <f t="shared" si="50"/>
        <v>0</v>
      </c>
      <c r="L246" s="49">
        <f t="shared" si="51"/>
        <v>0</v>
      </c>
      <c r="M246" s="49">
        <f t="shared" si="52"/>
        <v>0</v>
      </c>
      <c r="N246" s="29" t="str">
        <f t="shared" si="42"/>
        <v/>
      </c>
      <c r="O246" s="29">
        <f t="shared" si="43"/>
        <v>0</v>
      </c>
      <c r="P246" s="29">
        <f t="shared" si="44"/>
        <v>0</v>
      </c>
      <c r="Q246" s="29">
        <f>IF(A246&lt;&gt;"",SUM(F$2:F246),Q245)</f>
        <v>8</v>
      </c>
      <c r="R246" s="30">
        <f t="shared" si="53"/>
        <v>0</v>
      </c>
    </row>
    <row r="247" spans="1:18" x14ac:dyDescent="0.25">
      <c r="A247" s="27" t="str">
        <f>IF('Data Sheet'!A247="","",'Data Sheet'!A247)</f>
        <v/>
      </c>
      <c r="B247" s="28" t="str">
        <f>IF('Data Sheet'!B247="","",'Data Sheet'!B247)</f>
        <v/>
      </c>
      <c r="C247" s="28" t="str">
        <f>IF('Data Sheet'!C247="","",'Data Sheet'!C247)</f>
        <v/>
      </c>
      <c r="D247" s="28" t="str">
        <f>IF('Data Sheet'!D247="","",'Data Sheet'!D247)</f>
        <v/>
      </c>
      <c r="E247" s="29" t="str">
        <f t="shared" si="45"/>
        <v>C</v>
      </c>
      <c r="F247" s="51">
        <v>0</v>
      </c>
      <c r="G247" s="49">
        <f t="shared" si="46"/>
        <v>0</v>
      </c>
      <c r="H247" s="49">
        <f t="shared" si="47"/>
        <v>0</v>
      </c>
      <c r="I247" s="49">
        <f t="shared" si="48"/>
        <v>0</v>
      </c>
      <c r="J247" s="49">
        <f t="shared" si="49"/>
        <v>0</v>
      </c>
      <c r="K247" s="49">
        <f t="shared" si="50"/>
        <v>0</v>
      </c>
      <c r="L247" s="49">
        <f t="shared" si="51"/>
        <v>0</v>
      </c>
      <c r="M247" s="49">
        <f t="shared" si="52"/>
        <v>0</v>
      </c>
      <c r="N247" s="29" t="str">
        <f t="shared" si="42"/>
        <v/>
      </c>
      <c r="O247" s="29">
        <f t="shared" si="43"/>
        <v>0</v>
      </c>
      <c r="P247" s="29">
        <f t="shared" si="44"/>
        <v>0</v>
      </c>
      <c r="Q247" s="29">
        <f>IF(A247&lt;&gt;"",SUM(F$2:F247),Q246)</f>
        <v>8</v>
      </c>
      <c r="R247" s="30">
        <f t="shared" si="53"/>
        <v>0</v>
      </c>
    </row>
    <row r="248" spans="1:18" x14ac:dyDescent="0.25">
      <c r="A248" s="27" t="str">
        <f>IF('Data Sheet'!A248="","",'Data Sheet'!A248)</f>
        <v/>
      </c>
      <c r="B248" s="28" t="str">
        <f>IF('Data Sheet'!B248="","",'Data Sheet'!B248)</f>
        <v/>
      </c>
      <c r="C248" s="28" t="str">
        <f>IF('Data Sheet'!C248="","",'Data Sheet'!C248)</f>
        <v/>
      </c>
      <c r="D248" s="28" t="str">
        <f>IF('Data Sheet'!D248="","",'Data Sheet'!D248)</f>
        <v/>
      </c>
      <c r="E248" s="29" t="str">
        <f t="shared" si="45"/>
        <v>C</v>
      </c>
      <c r="F248" s="51">
        <v>0</v>
      </c>
      <c r="G248" s="49">
        <f t="shared" si="46"/>
        <v>0</v>
      </c>
      <c r="H248" s="49">
        <f t="shared" si="47"/>
        <v>0</v>
      </c>
      <c r="I248" s="49">
        <f t="shared" si="48"/>
        <v>0</v>
      </c>
      <c r="J248" s="49">
        <f t="shared" si="49"/>
        <v>0</v>
      </c>
      <c r="K248" s="49">
        <f t="shared" si="50"/>
        <v>0</v>
      </c>
      <c r="L248" s="49">
        <f t="shared" si="51"/>
        <v>0</v>
      </c>
      <c r="M248" s="49">
        <f t="shared" si="52"/>
        <v>0</v>
      </c>
      <c r="N248" s="29" t="str">
        <f t="shared" si="42"/>
        <v/>
      </c>
      <c r="O248" s="29">
        <f t="shared" si="43"/>
        <v>0</v>
      </c>
      <c r="P248" s="29">
        <f t="shared" si="44"/>
        <v>0</v>
      </c>
      <c r="Q248" s="29">
        <f>IF(A248&lt;&gt;"",SUM(F$2:F248),Q247)</f>
        <v>8</v>
      </c>
      <c r="R248" s="30">
        <f t="shared" si="53"/>
        <v>0</v>
      </c>
    </row>
    <row r="249" spans="1:18" x14ac:dyDescent="0.25">
      <c r="A249" s="27" t="str">
        <f>IF('Data Sheet'!A249="","",'Data Sheet'!A249)</f>
        <v/>
      </c>
      <c r="B249" s="28" t="str">
        <f>IF('Data Sheet'!B249="","",'Data Sheet'!B249)</f>
        <v/>
      </c>
      <c r="C249" s="28" t="str">
        <f>IF('Data Sheet'!C249="","",'Data Sheet'!C249)</f>
        <v/>
      </c>
      <c r="D249" s="28" t="str">
        <f>IF('Data Sheet'!D249="","",'Data Sheet'!D249)</f>
        <v/>
      </c>
      <c r="E249" s="29" t="str">
        <f t="shared" si="45"/>
        <v>C</v>
      </c>
      <c r="F249" s="51">
        <v>0</v>
      </c>
      <c r="G249" s="49">
        <f t="shared" si="46"/>
        <v>0</v>
      </c>
      <c r="H249" s="49">
        <f t="shared" si="47"/>
        <v>0</v>
      </c>
      <c r="I249" s="49">
        <f t="shared" si="48"/>
        <v>0</v>
      </c>
      <c r="J249" s="49">
        <f t="shared" si="49"/>
        <v>0</v>
      </c>
      <c r="K249" s="49">
        <f t="shared" si="50"/>
        <v>0</v>
      </c>
      <c r="L249" s="49">
        <f t="shared" si="51"/>
        <v>0</v>
      </c>
      <c r="M249" s="49">
        <f t="shared" si="52"/>
        <v>0</v>
      </c>
      <c r="N249" s="29" t="str">
        <f t="shared" si="42"/>
        <v/>
      </c>
      <c r="O249" s="29">
        <f t="shared" si="43"/>
        <v>0</v>
      </c>
      <c r="P249" s="29">
        <f t="shared" si="44"/>
        <v>0</v>
      </c>
      <c r="Q249" s="29">
        <f>IF(A249&lt;&gt;"",SUM(F$2:F249),Q248)</f>
        <v>8</v>
      </c>
      <c r="R249" s="30">
        <f t="shared" si="53"/>
        <v>0</v>
      </c>
    </row>
    <row r="250" spans="1:18" x14ac:dyDescent="0.25">
      <c r="A250" s="27" t="str">
        <f>IF('Data Sheet'!A250="","",'Data Sheet'!A250)</f>
        <v/>
      </c>
      <c r="B250" s="28" t="str">
        <f>IF('Data Sheet'!B250="","",'Data Sheet'!B250)</f>
        <v/>
      </c>
      <c r="C250" s="28" t="str">
        <f>IF('Data Sheet'!C250="","",'Data Sheet'!C250)</f>
        <v/>
      </c>
      <c r="D250" s="28" t="str">
        <f>IF('Data Sheet'!D250="","",'Data Sheet'!D250)</f>
        <v/>
      </c>
      <c r="E250" s="29" t="str">
        <f t="shared" si="45"/>
        <v>C</v>
      </c>
      <c r="F250" s="51">
        <v>0</v>
      </c>
      <c r="G250" s="49">
        <f t="shared" si="46"/>
        <v>0</v>
      </c>
      <c r="H250" s="49">
        <f t="shared" si="47"/>
        <v>0</v>
      </c>
      <c r="I250" s="49">
        <f t="shared" si="48"/>
        <v>0</v>
      </c>
      <c r="J250" s="49">
        <f t="shared" si="49"/>
        <v>0</v>
      </c>
      <c r="K250" s="49">
        <f t="shared" si="50"/>
        <v>0</v>
      </c>
      <c r="L250" s="49">
        <f t="shared" si="51"/>
        <v>0</v>
      </c>
      <c r="M250" s="49">
        <f t="shared" si="52"/>
        <v>0</v>
      </c>
      <c r="N250" s="29" t="str">
        <f t="shared" si="42"/>
        <v/>
      </c>
      <c r="O250" s="29">
        <f t="shared" si="43"/>
        <v>0</v>
      </c>
      <c r="P250" s="29">
        <f t="shared" si="44"/>
        <v>0</v>
      </c>
      <c r="Q250" s="29">
        <f>IF(A250&lt;&gt;"",SUM(F$2:F250),Q249)</f>
        <v>8</v>
      </c>
      <c r="R250" s="30">
        <f t="shared" si="53"/>
        <v>0</v>
      </c>
    </row>
    <row r="251" spans="1:18" x14ac:dyDescent="0.25">
      <c r="A251" s="27" t="str">
        <f>IF('Data Sheet'!A251="","",'Data Sheet'!A251)</f>
        <v/>
      </c>
      <c r="B251" s="28" t="str">
        <f>IF('Data Sheet'!B251="","",'Data Sheet'!B251)</f>
        <v/>
      </c>
      <c r="C251" s="28" t="str">
        <f>IF('Data Sheet'!C251="","",'Data Sheet'!C251)</f>
        <v/>
      </c>
      <c r="D251" s="28" t="str">
        <f>IF('Data Sheet'!D251="","",'Data Sheet'!D251)</f>
        <v/>
      </c>
      <c r="E251" s="29" t="str">
        <f t="shared" si="45"/>
        <v>C</v>
      </c>
      <c r="F251" s="51">
        <v>0</v>
      </c>
      <c r="G251" s="49">
        <f t="shared" si="46"/>
        <v>0</v>
      </c>
      <c r="H251" s="49">
        <f t="shared" si="47"/>
        <v>0</v>
      </c>
      <c r="I251" s="49">
        <f t="shared" si="48"/>
        <v>0</v>
      </c>
      <c r="J251" s="49">
        <f t="shared" si="49"/>
        <v>0</v>
      </c>
      <c r="K251" s="49">
        <f t="shared" si="50"/>
        <v>0</v>
      </c>
      <c r="L251" s="49">
        <f t="shared" si="51"/>
        <v>0</v>
      </c>
      <c r="M251" s="49">
        <f t="shared" si="52"/>
        <v>0</v>
      </c>
      <c r="N251" s="29" t="str">
        <f t="shared" si="42"/>
        <v/>
      </c>
      <c r="O251" s="29">
        <f t="shared" si="43"/>
        <v>0</v>
      </c>
      <c r="P251" s="29">
        <f t="shared" si="44"/>
        <v>0</v>
      </c>
      <c r="Q251" s="29">
        <f>IF(A251&lt;&gt;"",SUM(F$2:F251),Q250)</f>
        <v>8</v>
      </c>
      <c r="R251" s="30">
        <f t="shared" si="53"/>
        <v>0</v>
      </c>
    </row>
    <row r="252" spans="1:18" x14ac:dyDescent="0.25">
      <c r="A252" s="27" t="str">
        <f>IF('Data Sheet'!A252="","",'Data Sheet'!A252)</f>
        <v/>
      </c>
      <c r="B252" s="28" t="str">
        <f>IF('Data Sheet'!B252="","",'Data Sheet'!B252)</f>
        <v/>
      </c>
      <c r="C252" s="28" t="str">
        <f>IF('Data Sheet'!C252="","",'Data Sheet'!C252)</f>
        <v/>
      </c>
      <c r="D252" s="28" t="str">
        <f>IF('Data Sheet'!D252="","",'Data Sheet'!D252)</f>
        <v/>
      </c>
      <c r="E252" s="29" t="str">
        <f t="shared" si="45"/>
        <v>C</v>
      </c>
      <c r="F252" s="51">
        <v>0</v>
      </c>
      <c r="G252" s="49">
        <f t="shared" si="46"/>
        <v>0</v>
      </c>
      <c r="H252" s="49">
        <f t="shared" si="47"/>
        <v>0</v>
      </c>
      <c r="I252" s="49">
        <f t="shared" si="48"/>
        <v>0</v>
      </c>
      <c r="J252" s="49">
        <f t="shared" si="49"/>
        <v>0</v>
      </c>
      <c r="K252" s="49">
        <f t="shared" si="50"/>
        <v>0</v>
      </c>
      <c r="L252" s="49">
        <f t="shared" si="51"/>
        <v>0</v>
      </c>
      <c r="M252" s="49">
        <f t="shared" si="52"/>
        <v>0</v>
      </c>
      <c r="N252" s="29" t="str">
        <f t="shared" si="42"/>
        <v/>
      </c>
      <c r="O252" s="29">
        <f t="shared" si="43"/>
        <v>0</v>
      </c>
      <c r="P252" s="29">
        <f t="shared" si="44"/>
        <v>0</v>
      </c>
      <c r="Q252" s="29">
        <f>IF(A252&lt;&gt;"",SUM(F$2:F252),Q251)</f>
        <v>8</v>
      </c>
      <c r="R252" s="30">
        <f t="shared" si="53"/>
        <v>0</v>
      </c>
    </row>
    <row r="253" spans="1:18" x14ac:dyDescent="0.25">
      <c r="A253" s="27" t="str">
        <f>IF('Data Sheet'!A253="","",'Data Sheet'!A253)</f>
        <v/>
      </c>
      <c r="B253" s="28" t="str">
        <f>IF('Data Sheet'!B253="","",'Data Sheet'!B253)</f>
        <v/>
      </c>
      <c r="C253" s="28" t="str">
        <f>IF('Data Sheet'!C253="","",'Data Sheet'!C253)</f>
        <v/>
      </c>
      <c r="D253" s="28" t="str">
        <f>IF('Data Sheet'!D253="","",'Data Sheet'!D253)</f>
        <v/>
      </c>
      <c r="E253" s="29" t="str">
        <f t="shared" si="45"/>
        <v>C</v>
      </c>
      <c r="F253" s="51">
        <v>0</v>
      </c>
      <c r="G253" s="49">
        <f t="shared" si="46"/>
        <v>0</v>
      </c>
      <c r="H253" s="49">
        <f t="shared" si="47"/>
        <v>0</v>
      </c>
      <c r="I253" s="49">
        <f t="shared" si="48"/>
        <v>0</v>
      </c>
      <c r="J253" s="49">
        <f t="shared" si="49"/>
        <v>0</v>
      </c>
      <c r="K253" s="49">
        <f t="shared" si="50"/>
        <v>0</v>
      </c>
      <c r="L253" s="49">
        <f t="shared" si="51"/>
        <v>0</v>
      </c>
      <c r="M253" s="49">
        <f t="shared" si="52"/>
        <v>0</v>
      </c>
      <c r="N253" s="29" t="str">
        <f t="shared" si="42"/>
        <v/>
      </c>
      <c r="O253" s="29">
        <f t="shared" si="43"/>
        <v>0</v>
      </c>
      <c r="P253" s="29">
        <f t="shared" si="44"/>
        <v>0</v>
      </c>
      <c r="Q253" s="29">
        <f>IF(A253&lt;&gt;"",SUM(F$2:F253),Q252)</f>
        <v>8</v>
      </c>
      <c r="R253" s="30">
        <f t="shared" si="53"/>
        <v>0</v>
      </c>
    </row>
    <row r="254" spans="1:18" x14ac:dyDescent="0.25">
      <c r="A254" s="27" t="str">
        <f>IF('Data Sheet'!A254="","",'Data Sheet'!A254)</f>
        <v/>
      </c>
      <c r="B254" s="28" t="str">
        <f>IF('Data Sheet'!B254="","",'Data Sheet'!B254)</f>
        <v/>
      </c>
      <c r="C254" s="28" t="str">
        <f>IF('Data Sheet'!C254="","",'Data Sheet'!C254)</f>
        <v/>
      </c>
      <c r="D254" s="28" t="str">
        <f>IF('Data Sheet'!D254="","",'Data Sheet'!D254)</f>
        <v/>
      </c>
      <c r="E254" s="29" t="str">
        <f t="shared" si="45"/>
        <v>C</v>
      </c>
      <c r="F254" s="51">
        <v>0</v>
      </c>
      <c r="G254" s="49">
        <f t="shared" si="46"/>
        <v>0</v>
      </c>
      <c r="H254" s="49">
        <f t="shared" si="47"/>
        <v>0</v>
      </c>
      <c r="I254" s="49">
        <f t="shared" si="48"/>
        <v>0</v>
      </c>
      <c r="J254" s="49">
        <f t="shared" si="49"/>
        <v>0</v>
      </c>
      <c r="K254" s="49">
        <f t="shared" si="50"/>
        <v>0</v>
      </c>
      <c r="L254" s="49">
        <f t="shared" si="51"/>
        <v>0</v>
      </c>
      <c r="M254" s="49">
        <f t="shared" si="52"/>
        <v>0</v>
      </c>
      <c r="N254" s="29" t="str">
        <f t="shared" si="42"/>
        <v/>
      </c>
      <c r="O254" s="29">
        <f t="shared" si="43"/>
        <v>0</v>
      </c>
      <c r="P254" s="29">
        <f t="shared" si="44"/>
        <v>0</v>
      </c>
      <c r="Q254" s="29">
        <f>IF(A254&lt;&gt;"",SUM(F$2:F254),Q253)</f>
        <v>8</v>
      </c>
      <c r="R254" s="30">
        <f t="shared" si="53"/>
        <v>0</v>
      </c>
    </row>
    <row r="255" spans="1:18" x14ac:dyDescent="0.25">
      <c r="A255" s="27" t="str">
        <f>IF('Data Sheet'!A255="","",'Data Sheet'!A255)</f>
        <v/>
      </c>
      <c r="B255" s="28" t="str">
        <f>IF('Data Sheet'!B255="","",'Data Sheet'!B255)</f>
        <v/>
      </c>
      <c r="C255" s="28" t="str">
        <f>IF('Data Sheet'!C255="","",'Data Sheet'!C255)</f>
        <v/>
      </c>
      <c r="D255" s="28" t="str">
        <f>IF('Data Sheet'!D255="","",'Data Sheet'!D255)</f>
        <v/>
      </c>
      <c r="E255" s="29" t="str">
        <f t="shared" si="45"/>
        <v>C</v>
      </c>
      <c r="F255" s="51">
        <v>0</v>
      </c>
      <c r="G255" s="49">
        <f t="shared" si="46"/>
        <v>0</v>
      </c>
      <c r="H255" s="49">
        <f t="shared" si="47"/>
        <v>0</v>
      </c>
      <c r="I255" s="49">
        <f t="shared" si="48"/>
        <v>0</v>
      </c>
      <c r="J255" s="49">
        <f t="shared" si="49"/>
        <v>0</v>
      </c>
      <c r="K255" s="49">
        <f t="shared" si="50"/>
        <v>0</v>
      </c>
      <c r="L255" s="49">
        <f t="shared" si="51"/>
        <v>0</v>
      </c>
      <c r="M255" s="49">
        <f t="shared" si="52"/>
        <v>0</v>
      </c>
      <c r="N255" s="29" t="str">
        <f t="shared" si="42"/>
        <v/>
      </c>
      <c r="O255" s="29">
        <f t="shared" si="43"/>
        <v>0</v>
      </c>
      <c r="P255" s="29">
        <f t="shared" si="44"/>
        <v>0</v>
      </c>
      <c r="Q255" s="29">
        <f>IF(A255&lt;&gt;"",SUM(F$2:F255),Q254)</f>
        <v>8</v>
      </c>
      <c r="R255" s="30">
        <f t="shared" si="53"/>
        <v>0</v>
      </c>
    </row>
    <row r="256" spans="1:18" x14ac:dyDescent="0.25">
      <c r="A256" s="27" t="str">
        <f>IF('Data Sheet'!A256="","",'Data Sheet'!A256)</f>
        <v/>
      </c>
      <c r="B256" s="28" t="str">
        <f>IF('Data Sheet'!B256="","",'Data Sheet'!B256)</f>
        <v/>
      </c>
      <c r="C256" s="28" t="str">
        <f>IF('Data Sheet'!C256="","",'Data Sheet'!C256)</f>
        <v/>
      </c>
      <c r="D256" s="28" t="str">
        <f>IF('Data Sheet'!D256="","",'Data Sheet'!D256)</f>
        <v/>
      </c>
      <c r="E256" s="29" t="str">
        <f t="shared" si="45"/>
        <v>C</v>
      </c>
      <c r="F256" s="51">
        <v>0</v>
      </c>
      <c r="G256" s="49">
        <f t="shared" si="46"/>
        <v>0</v>
      </c>
      <c r="H256" s="49">
        <f t="shared" si="47"/>
        <v>0</v>
      </c>
      <c r="I256" s="49">
        <f t="shared" si="48"/>
        <v>0</v>
      </c>
      <c r="J256" s="49">
        <f t="shared" si="49"/>
        <v>0</v>
      </c>
      <c r="K256" s="49">
        <f t="shared" si="50"/>
        <v>0</v>
      </c>
      <c r="L256" s="49">
        <f t="shared" si="51"/>
        <v>0</v>
      </c>
      <c r="M256" s="49">
        <f t="shared" si="52"/>
        <v>0</v>
      </c>
      <c r="N256" s="29" t="str">
        <f t="shared" si="42"/>
        <v/>
      </c>
      <c r="O256" s="29">
        <f t="shared" si="43"/>
        <v>0</v>
      </c>
      <c r="P256" s="29">
        <f t="shared" si="44"/>
        <v>0</v>
      </c>
      <c r="Q256" s="29">
        <f>IF(A256&lt;&gt;"",SUM(F$2:F256),Q255)</f>
        <v>8</v>
      </c>
      <c r="R256" s="30">
        <f t="shared" si="53"/>
        <v>0</v>
      </c>
    </row>
    <row r="257" spans="1:18" x14ac:dyDescent="0.25">
      <c r="A257" s="27" t="str">
        <f>IF('Data Sheet'!A257="","",'Data Sheet'!A257)</f>
        <v/>
      </c>
      <c r="B257" s="28" t="str">
        <f>IF('Data Sheet'!B257="","",'Data Sheet'!B257)</f>
        <v/>
      </c>
      <c r="C257" s="28" t="str">
        <f>IF('Data Sheet'!C257="","",'Data Sheet'!C257)</f>
        <v/>
      </c>
      <c r="D257" s="28" t="str">
        <f>IF('Data Sheet'!D257="","",'Data Sheet'!D257)</f>
        <v/>
      </c>
      <c r="E257" s="29" t="str">
        <f t="shared" si="45"/>
        <v>C</v>
      </c>
      <c r="F257" s="51">
        <v>0</v>
      </c>
      <c r="G257" s="49">
        <f t="shared" si="46"/>
        <v>0</v>
      </c>
      <c r="H257" s="49">
        <f t="shared" si="47"/>
        <v>0</v>
      </c>
      <c r="I257" s="49">
        <f t="shared" si="48"/>
        <v>0</v>
      </c>
      <c r="J257" s="49">
        <f t="shared" si="49"/>
        <v>0</v>
      </c>
      <c r="K257" s="49">
        <f t="shared" si="50"/>
        <v>0</v>
      </c>
      <c r="L257" s="49">
        <f t="shared" si="51"/>
        <v>0</v>
      </c>
      <c r="M257" s="49">
        <f t="shared" si="52"/>
        <v>0</v>
      </c>
      <c r="N257" s="29" t="str">
        <f t="shared" si="42"/>
        <v/>
      </c>
      <c r="O257" s="29">
        <f t="shared" si="43"/>
        <v>0</v>
      </c>
      <c r="P257" s="29">
        <f t="shared" si="44"/>
        <v>0</v>
      </c>
      <c r="Q257" s="29">
        <f>IF(A257&lt;&gt;"",SUM(F$2:F257),Q256)</f>
        <v>8</v>
      </c>
      <c r="R257" s="30">
        <f t="shared" si="53"/>
        <v>0</v>
      </c>
    </row>
    <row r="258" spans="1:18" x14ac:dyDescent="0.25">
      <c r="A258" s="27" t="str">
        <f>IF('Data Sheet'!A258="","",'Data Sheet'!A258)</f>
        <v/>
      </c>
      <c r="B258" s="28" t="str">
        <f>IF('Data Sheet'!B258="","",'Data Sheet'!B258)</f>
        <v/>
      </c>
      <c r="C258" s="28" t="str">
        <f>IF('Data Sheet'!C258="","",'Data Sheet'!C258)</f>
        <v/>
      </c>
      <c r="D258" s="28" t="str">
        <f>IF('Data Sheet'!D258="","",'Data Sheet'!D258)</f>
        <v/>
      </c>
      <c r="E258" s="29" t="str">
        <f t="shared" si="45"/>
        <v>C</v>
      </c>
      <c r="F258" s="51">
        <v>0</v>
      </c>
      <c r="G258" s="49">
        <f t="shared" si="46"/>
        <v>0</v>
      </c>
      <c r="H258" s="49">
        <f t="shared" si="47"/>
        <v>0</v>
      </c>
      <c r="I258" s="49">
        <f t="shared" si="48"/>
        <v>0</v>
      </c>
      <c r="J258" s="49">
        <f t="shared" si="49"/>
        <v>0</v>
      </c>
      <c r="K258" s="49">
        <f t="shared" si="50"/>
        <v>0</v>
      </c>
      <c r="L258" s="49">
        <f t="shared" si="51"/>
        <v>0</v>
      </c>
      <c r="M258" s="49">
        <f t="shared" si="52"/>
        <v>0</v>
      </c>
      <c r="N258" s="29" t="str">
        <f t="shared" ref="N258:N321" si="54">IFERROR(VLOOKUP(B258,$U$16:$U$23,1,FALSE), "")</f>
        <v/>
      </c>
      <c r="O258" s="29">
        <f t="shared" ref="O258:O321" si="55">IF(A258="",0,IF(N258="",D258,D258*10))</f>
        <v>0</v>
      </c>
      <c r="P258" s="29">
        <f t="shared" ref="P258:P321" si="56">O258*F258</f>
        <v>0</v>
      </c>
      <c r="Q258" s="29">
        <f>IF(A258&lt;&gt;"",SUM(F$2:F258),Q257)</f>
        <v>8</v>
      </c>
      <c r="R258" s="30">
        <f t="shared" si="53"/>
        <v>0</v>
      </c>
    </row>
    <row r="259" spans="1:18" x14ac:dyDescent="0.25">
      <c r="A259" s="27" t="str">
        <f>IF('Data Sheet'!A259="","",'Data Sheet'!A259)</f>
        <v/>
      </c>
      <c r="B259" s="28" t="str">
        <f>IF('Data Sheet'!B259="","",'Data Sheet'!B259)</f>
        <v/>
      </c>
      <c r="C259" s="28" t="str">
        <f>IF('Data Sheet'!C259="","",'Data Sheet'!C259)</f>
        <v/>
      </c>
      <c r="D259" s="28" t="str">
        <f>IF('Data Sheet'!D259="","",'Data Sheet'!D259)</f>
        <v/>
      </c>
      <c r="E259" s="29" t="str">
        <f t="shared" ref="E259:E322" si="57">IF(OR(A259="SF",A259="PF"),"F",IF(OR(A259="SG",A259="PG"),"G","C"))</f>
        <v>C</v>
      </c>
      <c r="F259" s="51">
        <v>0</v>
      </c>
      <c r="G259" s="49">
        <f t="shared" ref="G259:G322" si="58">IF(A259="SF",1,0)</f>
        <v>0</v>
      </c>
      <c r="H259" s="49">
        <f t="shared" ref="H259:H322" si="59">IF(A259="SG",1,0)</f>
        <v>0</v>
      </c>
      <c r="I259" s="49">
        <f t="shared" ref="I259:I322" si="60">IF(A259="C",1,0)</f>
        <v>0</v>
      </c>
      <c r="J259" s="49">
        <f t="shared" ref="J259:J322" si="61">IF(A259="PG",1,0)</f>
        <v>0</v>
      </c>
      <c r="K259" s="49">
        <f t="shared" ref="K259:K322" si="62">IF(A259="PF",1,0)</f>
        <v>0</v>
      </c>
      <c r="L259" s="49">
        <f t="shared" ref="L259:L322" si="63">IF(E259="G",1,0)</f>
        <v>0</v>
      </c>
      <c r="M259" s="49">
        <f t="shared" ref="M259:M322" si="64">IF(E259="F",1,0)</f>
        <v>0</v>
      </c>
      <c r="N259" s="29" t="str">
        <f t="shared" si="54"/>
        <v/>
      </c>
      <c r="O259" s="29">
        <f t="shared" si="55"/>
        <v>0</v>
      </c>
      <c r="P259" s="29">
        <f t="shared" si="56"/>
        <v>0</v>
      </c>
      <c r="Q259" s="29">
        <f>IF(A259&lt;&gt;"",SUM(F$2:F259),Q258)</f>
        <v>8</v>
      </c>
      <c r="R259" s="30">
        <f t="shared" si="53"/>
        <v>0</v>
      </c>
    </row>
    <row r="260" spans="1:18" x14ac:dyDescent="0.25">
      <c r="A260" s="27" t="str">
        <f>IF('Data Sheet'!A260="","",'Data Sheet'!A260)</f>
        <v/>
      </c>
      <c r="B260" s="28" t="str">
        <f>IF('Data Sheet'!B260="","",'Data Sheet'!B260)</f>
        <v/>
      </c>
      <c r="C260" s="28" t="str">
        <f>IF('Data Sheet'!C260="","",'Data Sheet'!C260)</f>
        <v/>
      </c>
      <c r="D260" s="28" t="str">
        <f>IF('Data Sheet'!D260="","",'Data Sheet'!D260)</f>
        <v/>
      </c>
      <c r="E260" s="29" t="str">
        <f t="shared" si="57"/>
        <v>C</v>
      </c>
      <c r="F260" s="51">
        <v>0</v>
      </c>
      <c r="G260" s="49">
        <f t="shared" si="58"/>
        <v>0</v>
      </c>
      <c r="H260" s="49">
        <f t="shared" si="59"/>
        <v>0</v>
      </c>
      <c r="I260" s="49">
        <f t="shared" si="60"/>
        <v>0</v>
      </c>
      <c r="J260" s="49">
        <f t="shared" si="61"/>
        <v>0</v>
      </c>
      <c r="K260" s="49">
        <f t="shared" si="62"/>
        <v>0</v>
      </c>
      <c r="L260" s="49">
        <f t="shared" si="63"/>
        <v>0</v>
      </c>
      <c r="M260" s="49">
        <f t="shared" si="64"/>
        <v>0</v>
      </c>
      <c r="N260" s="29" t="str">
        <f t="shared" si="54"/>
        <v/>
      </c>
      <c r="O260" s="29">
        <f t="shared" si="55"/>
        <v>0</v>
      </c>
      <c r="P260" s="29">
        <f t="shared" si="56"/>
        <v>0</v>
      </c>
      <c r="Q260" s="29">
        <f>IF(A260&lt;&gt;"",SUM(F$2:F260),Q259)</f>
        <v>8</v>
      </c>
      <c r="R260" s="30">
        <f t="shared" ref="R260:R323" si="65">IF(Q260=Q259,0,Q260)</f>
        <v>0</v>
      </c>
    </row>
    <row r="261" spans="1:18" x14ac:dyDescent="0.25">
      <c r="A261" s="27" t="str">
        <f>IF('Data Sheet'!A261="","",'Data Sheet'!A261)</f>
        <v/>
      </c>
      <c r="B261" s="28" t="str">
        <f>IF('Data Sheet'!B261="","",'Data Sheet'!B261)</f>
        <v/>
      </c>
      <c r="C261" s="28" t="str">
        <f>IF('Data Sheet'!C261="","",'Data Sheet'!C261)</f>
        <v/>
      </c>
      <c r="D261" s="28" t="str">
        <f>IF('Data Sheet'!D261="","",'Data Sheet'!D261)</f>
        <v/>
      </c>
      <c r="E261" s="29" t="str">
        <f t="shared" si="57"/>
        <v>C</v>
      </c>
      <c r="F261" s="51">
        <v>0</v>
      </c>
      <c r="G261" s="49">
        <f t="shared" si="58"/>
        <v>0</v>
      </c>
      <c r="H261" s="49">
        <f t="shared" si="59"/>
        <v>0</v>
      </c>
      <c r="I261" s="49">
        <f t="shared" si="60"/>
        <v>0</v>
      </c>
      <c r="J261" s="49">
        <f t="shared" si="61"/>
        <v>0</v>
      </c>
      <c r="K261" s="49">
        <f t="shared" si="62"/>
        <v>0</v>
      </c>
      <c r="L261" s="49">
        <f t="shared" si="63"/>
        <v>0</v>
      </c>
      <c r="M261" s="49">
        <f t="shared" si="64"/>
        <v>0</v>
      </c>
      <c r="N261" s="29" t="str">
        <f t="shared" si="54"/>
        <v/>
      </c>
      <c r="O261" s="29">
        <f t="shared" si="55"/>
        <v>0</v>
      </c>
      <c r="P261" s="29">
        <f t="shared" si="56"/>
        <v>0</v>
      </c>
      <c r="Q261" s="29">
        <f>IF(A261&lt;&gt;"",SUM(F$2:F261),Q260)</f>
        <v>8</v>
      </c>
      <c r="R261" s="30">
        <f t="shared" si="65"/>
        <v>0</v>
      </c>
    </row>
    <row r="262" spans="1:18" x14ac:dyDescent="0.25">
      <c r="A262" s="27" t="str">
        <f>IF('Data Sheet'!A262="","",'Data Sheet'!A262)</f>
        <v/>
      </c>
      <c r="B262" s="28" t="str">
        <f>IF('Data Sheet'!B262="","",'Data Sheet'!B262)</f>
        <v/>
      </c>
      <c r="C262" s="28" t="str">
        <f>IF('Data Sheet'!C262="","",'Data Sheet'!C262)</f>
        <v/>
      </c>
      <c r="D262" s="28" t="str">
        <f>IF('Data Sheet'!D262="","",'Data Sheet'!D262)</f>
        <v/>
      </c>
      <c r="E262" s="29" t="str">
        <f t="shared" si="57"/>
        <v>C</v>
      </c>
      <c r="F262" s="51">
        <v>0</v>
      </c>
      <c r="G262" s="49">
        <f t="shared" si="58"/>
        <v>0</v>
      </c>
      <c r="H262" s="49">
        <f t="shared" si="59"/>
        <v>0</v>
      </c>
      <c r="I262" s="49">
        <f t="shared" si="60"/>
        <v>0</v>
      </c>
      <c r="J262" s="49">
        <f t="shared" si="61"/>
        <v>0</v>
      </c>
      <c r="K262" s="49">
        <f t="shared" si="62"/>
        <v>0</v>
      </c>
      <c r="L262" s="49">
        <f t="shared" si="63"/>
        <v>0</v>
      </c>
      <c r="M262" s="49">
        <f t="shared" si="64"/>
        <v>0</v>
      </c>
      <c r="N262" s="29" t="str">
        <f t="shared" si="54"/>
        <v/>
      </c>
      <c r="O262" s="29">
        <f t="shared" si="55"/>
        <v>0</v>
      </c>
      <c r="P262" s="29">
        <f t="shared" si="56"/>
        <v>0</v>
      </c>
      <c r="Q262" s="29">
        <f>IF(A262&lt;&gt;"",SUM(F$2:F262),Q261)</f>
        <v>8</v>
      </c>
      <c r="R262" s="30">
        <f t="shared" si="65"/>
        <v>0</v>
      </c>
    </row>
    <row r="263" spans="1:18" x14ac:dyDescent="0.25">
      <c r="A263" s="27" t="str">
        <f>IF('Data Sheet'!A263="","",'Data Sheet'!A263)</f>
        <v/>
      </c>
      <c r="B263" s="28" t="str">
        <f>IF('Data Sheet'!B263="","",'Data Sheet'!B263)</f>
        <v/>
      </c>
      <c r="C263" s="28" t="str">
        <f>IF('Data Sheet'!C263="","",'Data Sheet'!C263)</f>
        <v/>
      </c>
      <c r="D263" s="28" t="str">
        <f>IF('Data Sheet'!D263="","",'Data Sheet'!D263)</f>
        <v/>
      </c>
      <c r="E263" s="29" t="str">
        <f t="shared" si="57"/>
        <v>C</v>
      </c>
      <c r="F263" s="51">
        <v>0</v>
      </c>
      <c r="G263" s="49">
        <f t="shared" si="58"/>
        <v>0</v>
      </c>
      <c r="H263" s="49">
        <f t="shared" si="59"/>
        <v>0</v>
      </c>
      <c r="I263" s="49">
        <f t="shared" si="60"/>
        <v>0</v>
      </c>
      <c r="J263" s="49">
        <f t="shared" si="61"/>
        <v>0</v>
      </c>
      <c r="K263" s="49">
        <f t="shared" si="62"/>
        <v>0</v>
      </c>
      <c r="L263" s="49">
        <f t="shared" si="63"/>
        <v>0</v>
      </c>
      <c r="M263" s="49">
        <f t="shared" si="64"/>
        <v>0</v>
      </c>
      <c r="N263" s="29" t="str">
        <f t="shared" si="54"/>
        <v/>
      </c>
      <c r="O263" s="29">
        <f t="shared" si="55"/>
        <v>0</v>
      </c>
      <c r="P263" s="29">
        <f t="shared" si="56"/>
        <v>0</v>
      </c>
      <c r="Q263" s="29">
        <f>IF(A263&lt;&gt;"",SUM(F$2:F263),Q262)</f>
        <v>8</v>
      </c>
      <c r="R263" s="30">
        <f t="shared" si="65"/>
        <v>0</v>
      </c>
    </row>
    <row r="264" spans="1:18" x14ac:dyDescent="0.25">
      <c r="A264" s="27" t="str">
        <f>IF('Data Sheet'!A264="","",'Data Sheet'!A264)</f>
        <v/>
      </c>
      <c r="B264" s="28" t="str">
        <f>IF('Data Sheet'!B264="","",'Data Sheet'!B264)</f>
        <v/>
      </c>
      <c r="C264" s="28" t="str">
        <f>IF('Data Sheet'!C264="","",'Data Sheet'!C264)</f>
        <v/>
      </c>
      <c r="D264" s="28" t="str">
        <f>IF('Data Sheet'!D264="","",'Data Sheet'!D264)</f>
        <v/>
      </c>
      <c r="E264" s="29" t="str">
        <f t="shared" si="57"/>
        <v>C</v>
      </c>
      <c r="F264" s="51">
        <v>0</v>
      </c>
      <c r="G264" s="49">
        <f t="shared" si="58"/>
        <v>0</v>
      </c>
      <c r="H264" s="49">
        <f t="shared" si="59"/>
        <v>0</v>
      </c>
      <c r="I264" s="49">
        <f t="shared" si="60"/>
        <v>0</v>
      </c>
      <c r="J264" s="49">
        <f t="shared" si="61"/>
        <v>0</v>
      </c>
      <c r="K264" s="49">
        <f t="shared" si="62"/>
        <v>0</v>
      </c>
      <c r="L264" s="49">
        <f t="shared" si="63"/>
        <v>0</v>
      </c>
      <c r="M264" s="49">
        <f t="shared" si="64"/>
        <v>0</v>
      </c>
      <c r="N264" s="29" t="str">
        <f t="shared" si="54"/>
        <v/>
      </c>
      <c r="O264" s="29">
        <f t="shared" si="55"/>
        <v>0</v>
      </c>
      <c r="P264" s="29">
        <f t="shared" si="56"/>
        <v>0</v>
      </c>
      <c r="Q264" s="29">
        <f>IF(A264&lt;&gt;"",SUM(F$2:F264),Q263)</f>
        <v>8</v>
      </c>
      <c r="R264" s="30">
        <f t="shared" si="65"/>
        <v>0</v>
      </c>
    </row>
    <row r="265" spans="1:18" x14ac:dyDescent="0.25">
      <c r="A265" s="27" t="str">
        <f>IF('Data Sheet'!A265="","",'Data Sheet'!A265)</f>
        <v/>
      </c>
      <c r="B265" s="28" t="str">
        <f>IF('Data Sheet'!B265="","",'Data Sheet'!B265)</f>
        <v/>
      </c>
      <c r="C265" s="28" t="str">
        <f>IF('Data Sheet'!C265="","",'Data Sheet'!C265)</f>
        <v/>
      </c>
      <c r="D265" s="28" t="str">
        <f>IF('Data Sheet'!D265="","",'Data Sheet'!D265)</f>
        <v/>
      </c>
      <c r="E265" s="29" t="str">
        <f t="shared" si="57"/>
        <v>C</v>
      </c>
      <c r="F265" s="51">
        <v>0</v>
      </c>
      <c r="G265" s="49">
        <f t="shared" si="58"/>
        <v>0</v>
      </c>
      <c r="H265" s="49">
        <f t="shared" si="59"/>
        <v>0</v>
      </c>
      <c r="I265" s="49">
        <f t="shared" si="60"/>
        <v>0</v>
      </c>
      <c r="J265" s="49">
        <f t="shared" si="61"/>
        <v>0</v>
      </c>
      <c r="K265" s="49">
        <f t="shared" si="62"/>
        <v>0</v>
      </c>
      <c r="L265" s="49">
        <f t="shared" si="63"/>
        <v>0</v>
      </c>
      <c r="M265" s="49">
        <f t="shared" si="64"/>
        <v>0</v>
      </c>
      <c r="N265" s="29" t="str">
        <f t="shared" si="54"/>
        <v/>
      </c>
      <c r="O265" s="29">
        <f t="shared" si="55"/>
        <v>0</v>
      </c>
      <c r="P265" s="29">
        <f t="shared" si="56"/>
        <v>0</v>
      </c>
      <c r="Q265" s="29">
        <f>IF(A265&lt;&gt;"",SUM(F$2:F265),Q264)</f>
        <v>8</v>
      </c>
      <c r="R265" s="30">
        <f t="shared" si="65"/>
        <v>0</v>
      </c>
    </row>
    <row r="266" spans="1:18" x14ac:dyDescent="0.25">
      <c r="A266" s="27" t="str">
        <f>IF('Data Sheet'!A266="","",'Data Sheet'!A266)</f>
        <v/>
      </c>
      <c r="B266" s="28" t="str">
        <f>IF('Data Sheet'!B266="","",'Data Sheet'!B266)</f>
        <v/>
      </c>
      <c r="C266" s="28" t="str">
        <f>IF('Data Sheet'!C266="","",'Data Sheet'!C266)</f>
        <v/>
      </c>
      <c r="D266" s="28" t="str">
        <f>IF('Data Sheet'!D266="","",'Data Sheet'!D266)</f>
        <v/>
      </c>
      <c r="E266" s="29" t="str">
        <f t="shared" si="57"/>
        <v>C</v>
      </c>
      <c r="F266" s="51">
        <v>0</v>
      </c>
      <c r="G266" s="49">
        <f t="shared" si="58"/>
        <v>0</v>
      </c>
      <c r="H266" s="49">
        <f t="shared" si="59"/>
        <v>0</v>
      </c>
      <c r="I266" s="49">
        <f t="shared" si="60"/>
        <v>0</v>
      </c>
      <c r="J266" s="49">
        <f t="shared" si="61"/>
        <v>0</v>
      </c>
      <c r="K266" s="49">
        <f t="shared" si="62"/>
        <v>0</v>
      </c>
      <c r="L266" s="49">
        <f t="shared" si="63"/>
        <v>0</v>
      </c>
      <c r="M266" s="49">
        <f t="shared" si="64"/>
        <v>0</v>
      </c>
      <c r="N266" s="29" t="str">
        <f t="shared" si="54"/>
        <v/>
      </c>
      <c r="O266" s="29">
        <f t="shared" si="55"/>
        <v>0</v>
      </c>
      <c r="P266" s="29">
        <f t="shared" si="56"/>
        <v>0</v>
      </c>
      <c r="Q266" s="29">
        <f>IF(A266&lt;&gt;"",SUM(F$2:F266),Q265)</f>
        <v>8</v>
      </c>
      <c r="R266" s="30">
        <f t="shared" si="65"/>
        <v>0</v>
      </c>
    </row>
    <row r="267" spans="1:18" x14ac:dyDescent="0.25">
      <c r="A267" s="27" t="str">
        <f>IF('Data Sheet'!A267="","",'Data Sheet'!A267)</f>
        <v/>
      </c>
      <c r="B267" s="28" t="str">
        <f>IF('Data Sheet'!B267="","",'Data Sheet'!B267)</f>
        <v/>
      </c>
      <c r="C267" s="28" t="str">
        <f>IF('Data Sheet'!C267="","",'Data Sheet'!C267)</f>
        <v/>
      </c>
      <c r="D267" s="28" t="str">
        <f>IF('Data Sheet'!D267="","",'Data Sheet'!D267)</f>
        <v/>
      </c>
      <c r="E267" s="29" t="str">
        <f t="shared" si="57"/>
        <v>C</v>
      </c>
      <c r="F267" s="51">
        <v>0</v>
      </c>
      <c r="G267" s="49">
        <f t="shared" si="58"/>
        <v>0</v>
      </c>
      <c r="H267" s="49">
        <f t="shared" si="59"/>
        <v>0</v>
      </c>
      <c r="I267" s="49">
        <f t="shared" si="60"/>
        <v>0</v>
      </c>
      <c r="J267" s="49">
        <f t="shared" si="61"/>
        <v>0</v>
      </c>
      <c r="K267" s="49">
        <f t="shared" si="62"/>
        <v>0</v>
      </c>
      <c r="L267" s="49">
        <f t="shared" si="63"/>
        <v>0</v>
      </c>
      <c r="M267" s="49">
        <f t="shared" si="64"/>
        <v>0</v>
      </c>
      <c r="N267" s="29" t="str">
        <f t="shared" si="54"/>
        <v/>
      </c>
      <c r="O267" s="29">
        <f t="shared" si="55"/>
        <v>0</v>
      </c>
      <c r="P267" s="29">
        <f t="shared" si="56"/>
        <v>0</v>
      </c>
      <c r="Q267" s="29">
        <f>IF(A267&lt;&gt;"",SUM(F$2:F267),Q266)</f>
        <v>8</v>
      </c>
      <c r="R267" s="30">
        <f t="shared" si="65"/>
        <v>0</v>
      </c>
    </row>
    <row r="268" spans="1:18" x14ac:dyDescent="0.25">
      <c r="A268" s="27" t="str">
        <f>IF('Data Sheet'!A268="","",'Data Sheet'!A268)</f>
        <v/>
      </c>
      <c r="B268" s="28" t="str">
        <f>IF('Data Sheet'!B268="","",'Data Sheet'!B268)</f>
        <v/>
      </c>
      <c r="C268" s="28" t="str">
        <f>IF('Data Sheet'!C268="","",'Data Sheet'!C268)</f>
        <v/>
      </c>
      <c r="D268" s="28" t="str">
        <f>IF('Data Sheet'!D268="","",'Data Sheet'!D268)</f>
        <v/>
      </c>
      <c r="E268" s="29" t="str">
        <f t="shared" si="57"/>
        <v>C</v>
      </c>
      <c r="F268" s="51">
        <v>0</v>
      </c>
      <c r="G268" s="49">
        <f t="shared" si="58"/>
        <v>0</v>
      </c>
      <c r="H268" s="49">
        <f t="shared" si="59"/>
        <v>0</v>
      </c>
      <c r="I268" s="49">
        <f t="shared" si="60"/>
        <v>0</v>
      </c>
      <c r="J268" s="49">
        <f t="shared" si="61"/>
        <v>0</v>
      </c>
      <c r="K268" s="49">
        <f t="shared" si="62"/>
        <v>0</v>
      </c>
      <c r="L268" s="49">
        <f t="shared" si="63"/>
        <v>0</v>
      </c>
      <c r="M268" s="49">
        <f t="shared" si="64"/>
        <v>0</v>
      </c>
      <c r="N268" s="29" t="str">
        <f t="shared" si="54"/>
        <v/>
      </c>
      <c r="O268" s="29">
        <f t="shared" si="55"/>
        <v>0</v>
      </c>
      <c r="P268" s="29">
        <f t="shared" si="56"/>
        <v>0</v>
      </c>
      <c r="Q268" s="29">
        <f>IF(A268&lt;&gt;"",SUM(F$2:F268),Q267)</f>
        <v>8</v>
      </c>
      <c r="R268" s="30">
        <f t="shared" si="65"/>
        <v>0</v>
      </c>
    </row>
    <row r="269" spans="1:18" x14ac:dyDescent="0.25">
      <c r="A269" s="27" t="str">
        <f>IF('Data Sheet'!A269="","",'Data Sheet'!A269)</f>
        <v/>
      </c>
      <c r="B269" s="28" t="str">
        <f>IF('Data Sheet'!B269="","",'Data Sheet'!B269)</f>
        <v/>
      </c>
      <c r="C269" s="28" t="str">
        <f>IF('Data Sheet'!C269="","",'Data Sheet'!C269)</f>
        <v/>
      </c>
      <c r="D269" s="28" t="str">
        <f>IF('Data Sheet'!D269="","",'Data Sheet'!D269)</f>
        <v/>
      </c>
      <c r="E269" s="29" t="str">
        <f t="shared" si="57"/>
        <v>C</v>
      </c>
      <c r="F269" s="51">
        <v>0</v>
      </c>
      <c r="G269" s="49">
        <f t="shared" si="58"/>
        <v>0</v>
      </c>
      <c r="H269" s="49">
        <f t="shared" si="59"/>
        <v>0</v>
      </c>
      <c r="I269" s="49">
        <f t="shared" si="60"/>
        <v>0</v>
      </c>
      <c r="J269" s="49">
        <f t="shared" si="61"/>
        <v>0</v>
      </c>
      <c r="K269" s="49">
        <f t="shared" si="62"/>
        <v>0</v>
      </c>
      <c r="L269" s="49">
        <f t="shared" si="63"/>
        <v>0</v>
      </c>
      <c r="M269" s="49">
        <f t="shared" si="64"/>
        <v>0</v>
      </c>
      <c r="N269" s="29" t="str">
        <f t="shared" si="54"/>
        <v/>
      </c>
      <c r="O269" s="29">
        <f t="shared" si="55"/>
        <v>0</v>
      </c>
      <c r="P269" s="29">
        <f t="shared" si="56"/>
        <v>0</v>
      </c>
      <c r="Q269" s="29">
        <f>IF(A269&lt;&gt;"",SUM(F$2:F269),Q268)</f>
        <v>8</v>
      </c>
      <c r="R269" s="30">
        <f t="shared" si="65"/>
        <v>0</v>
      </c>
    </row>
    <row r="270" spans="1:18" x14ac:dyDescent="0.25">
      <c r="A270" s="27" t="str">
        <f>IF('Data Sheet'!A270="","",'Data Sheet'!A270)</f>
        <v/>
      </c>
      <c r="B270" s="28" t="str">
        <f>IF('Data Sheet'!B270="","",'Data Sheet'!B270)</f>
        <v/>
      </c>
      <c r="C270" s="28" t="str">
        <f>IF('Data Sheet'!C270="","",'Data Sheet'!C270)</f>
        <v/>
      </c>
      <c r="D270" s="28" t="str">
        <f>IF('Data Sheet'!D270="","",'Data Sheet'!D270)</f>
        <v/>
      </c>
      <c r="E270" s="29" t="str">
        <f t="shared" si="57"/>
        <v>C</v>
      </c>
      <c r="F270" s="51">
        <v>0</v>
      </c>
      <c r="G270" s="49">
        <f t="shared" si="58"/>
        <v>0</v>
      </c>
      <c r="H270" s="49">
        <f t="shared" si="59"/>
        <v>0</v>
      </c>
      <c r="I270" s="49">
        <f t="shared" si="60"/>
        <v>0</v>
      </c>
      <c r="J270" s="49">
        <f t="shared" si="61"/>
        <v>0</v>
      </c>
      <c r="K270" s="49">
        <f t="shared" si="62"/>
        <v>0</v>
      </c>
      <c r="L270" s="49">
        <f t="shared" si="63"/>
        <v>0</v>
      </c>
      <c r="M270" s="49">
        <f t="shared" si="64"/>
        <v>0</v>
      </c>
      <c r="N270" s="29" t="str">
        <f t="shared" si="54"/>
        <v/>
      </c>
      <c r="O270" s="29">
        <f t="shared" si="55"/>
        <v>0</v>
      </c>
      <c r="P270" s="29">
        <f t="shared" si="56"/>
        <v>0</v>
      </c>
      <c r="Q270" s="29">
        <f>IF(A270&lt;&gt;"",SUM(F$2:F270),Q269)</f>
        <v>8</v>
      </c>
      <c r="R270" s="30">
        <f t="shared" si="65"/>
        <v>0</v>
      </c>
    </row>
    <row r="271" spans="1:18" x14ac:dyDescent="0.25">
      <c r="A271" s="27" t="str">
        <f>IF('Data Sheet'!A271="","",'Data Sheet'!A271)</f>
        <v/>
      </c>
      <c r="B271" s="28" t="str">
        <f>IF('Data Sheet'!B271="","",'Data Sheet'!B271)</f>
        <v/>
      </c>
      <c r="C271" s="28" t="str">
        <f>IF('Data Sheet'!C271="","",'Data Sheet'!C271)</f>
        <v/>
      </c>
      <c r="D271" s="28" t="str">
        <f>IF('Data Sheet'!D271="","",'Data Sheet'!D271)</f>
        <v/>
      </c>
      <c r="E271" s="29" t="str">
        <f t="shared" si="57"/>
        <v>C</v>
      </c>
      <c r="F271" s="51">
        <v>0</v>
      </c>
      <c r="G271" s="49">
        <f t="shared" si="58"/>
        <v>0</v>
      </c>
      <c r="H271" s="49">
        <f t="shared" si="59"/>
        <v>0</v>
      </c>
      <c r="I271" s="49">
        <f t="shared" si="60"/>
        <v>0</v>
      </c>
      <c r="J271" s="49">
        <f t="shared" si="61"/>
        <v>0</v>
      </c>
      <c r="K271" s="49">
        <f t="shared" si="62"/>
        <v>0</v>
      </c>
      <c r="L271" s="49">
        <f t="shared" si="63"/>
        <v>0</v>
      </c>
      <c r="M271" s="49">
        <f t="shared" si="64"/>
        <v>0</v>
      </c>
      <c r="N271" s="29" t="str">
        <f t="shared" si="54"/>
        <v/>
      </c>
      <c r="O271" s="29">
        <f t="shared" si="55"/>
        <v>0</v>
      </c>
      <c r="P271" s="29">
        <f t="shared" si="56"/>
        <v>0</v>
      </c>
      <c r="Q271" s="29">
        <f>IF(A271&lt;&gt;"",SUM(F$2:F271),Q270)</f>
        <v>8</v>
      </c>
      <c r="R271" s="30">
        <f t="shared" si="65"/>
        <v>0</v>
      </c>
    </row>
    <row r="272" spans="1:18" x14ac:dyDescent="0.25">
      <c r="A272" s="27" t="str">
        <f>IF('Data Sheet'!A272="","",'Data Sheet'!A272)</f>
        <v/>
      </c>
      <c r="B272" s="28" t="str">
        <f>IF('Data Sheet'!B272="","",'Data Sheet'!B272)</f>
        <v/>
      </c>
      <c r="C272" s="28" t="str">
        <f>IF('Data Sheet'!C272="","",'Data Sheet'!C272)</f>
        <v/>
      </c>
      <c r="D272" s="28" t="str">
        <f>IF('Data Sheet'!D272="","",'Data Sheet'!D272)</f>
        <v/>
      </c>
      <c r="E272" s="29" t="str">
        <f t="shared" si="57"/>
        <v>C</v>
      </c>
      <c r="F272" s="51">
        <v>0</v>
      </c>
      <c r="G272" s="49">
        <f t="shared" si="58"/>
        <v>0</v>
      </c>
      <c r="H272" s="49">
        <f t="shared" si="59"/>
        <v>0</v>
      </c>
      <c r="I272" s="49">
        <f t="shared" si="60"/>
        <v>0</v>
      </c>
      <c r="J272" s="49">
        <f t="shared" si="61"/>
        <v>0</v>
      </c>
      <c r="K272" s="49">
        <f t="shared" si="62"/>
        <v>0</v>
      </c>
      <c r="L272" s="49">
        <f t="shared" si="63"/>
        <v>0</v>
      </c>
      <c r="M272" s="49">
        <f t="shared" si="64"/>
        <v>0</v>
      </c>
      <c r="N272" s="29" t="str">
        <f t="shared" si="54"/>
        <v/>
      </c>
      <c r="O272" s="29">
        <f t="shared" si="55"/>
        <v>0</v>
      </c>
      <c r="P272" s="29">
        <f t="shared" si="56"/>
        <v>0</v>
      </c>
      <c r="Q272" s="29">
        <f>IF(A272&lt;&gt;"",SUM(F$2:F272),Q271)</f>
        <v>8</v>
      </c>
      <c r="R272" s="30">
        <f t="shared" si="65"/>
        <v>0</v>
      </c>
    </row>
    <row r="273" spans="1:18" x14ac:dyDescent="0.25">
      <c r="A273" s="27" t="str">
        <f>IF('Data Sheet'!A273="","",'Data Sheet'!A273)</f>
        <v/>
      </c>
      <c r="B273" s="28" t="str">
        <f>IF('Data Sheet'!B273="","",'Data Sheet'!B273)</f>
        <v/>
      </c>
      <c r="C273" s="28" t="str">
        <f>IF('Data Sheet'!C273="","",'Data Sheet'!C273)</f>
        <v/>
      </c>
      <c r="D273" s="28" t="str">
        <f>IF('Data Sheet'!D273="","",'Data Sheet'!D273)</f>
        <v/>
      </c>
      <c r="E273" s="29" t="str">
        <f t="shared" si="57"/>
        <v>C</v>
      </c>
      <c r="F273" s="51">
        <v>0</v>
      </c>
      <c r="G273" s="49">
        <f t="shared" si="58"/>
        <v>0</v>
      </c>
      <c r="H273" s="49">
        <f t="shared" si="59"/>
        <v>0</v>
      </c>
      <c r="I273" s="49">
        <f t="shared" si="60"/>
        <v>0</v>
      </c>
      <c r="J273" s="49">
        <f t="shared" si="61"/>
        <v>0</v>
      </c>
      <c r="K273" s="49">
        <f t="shared" si="62"/>
        <v>0</v>
      </c>
      <c r="L273" s="49">
        <f t="shared" si="63"/>
        <v>0</v>
      </c>
      <c r="M273" s="49">
        <f t="shared" si="64"/>
        <v>0</v>
      </c>
      <c r="N273" s="29" t="str">
        <f t="shared" si="54"/>
        <v/>
      </c>
      <c r="O273" s="29">
        <f t="shared" si="55"/>
        <v>0</v>
      </c>
      <c r="P273" s="29">
        <f t="shared" si="56"/>
        <v>0</v>
      </c>
      <c r="Q273" s="29">
        <f>IF(A273&lt;&gt;"",SUM(F$2:F273),Q272)</f>
        <v>8</v>
      </c>
      <c r="R273" s="30">
        <f t="shared" si="65"/>
        <v>0</v>
      </c>
    </row>
    <row r="274" spans="1:18" x14ac:dyDescent="0.25">
      <c r="A274" s="27" t="str">
        <f>IF('Data Sheet'!A274="","",'Data Sheet'!A274)</f>
        <v/>
      </c>
      <c r="B274" s="28" t="str">
        <f>IF('Data Sheet'!B274="","",'Data Sheet'!B274)</f>
        <v/>
      </c>
      <c r="C274" s="28" t="str">
        <f>IF('Data Sheet'!C274="","",'Data Sheet'!C274)</f>
        <v/>
      </c>
      <c r="D274" s="28" t="str">
        <f>IF('Data Sheet'!D274="","",'Data Sheet'!D274)</f>
        <v/>
      </c>
      <c r="E274" s="29" t="str">
        <f t="shared" si="57"/>
        <v>C</v>
      </c>
      <c r="F274" s="51">
        <v>0</v>
      </c>
      <c r="G274" s="49">
        <f t="shared" si="58"/>
        <v>0</v>
      </c>
      <c r="H274" s="49">
        <f t="shared" si="59"/>
        <v>0</v>
      </c>
      <c r="I274" s="49">
        <f t="shared" si="60"/>
        <v>0</v>
      </c>
      <c r="J274" s="49">
        <f t="shared" si="61"/>
        <v>0</v>
      </c>
      <c r="K274" s="49">
        <f t="shared" si="62"/>
        <v>0</v>
      </c>
      <c r="L274" s="49">
        <f t="shared" si="63"/>
        <v>0</v>
      </c>
      <c r="M274" s="49">
        <f t="shared" si="64"/>
        <v>0</v>
      </c>
      <c r="N274" s="29" t="str">
        <f t="shared" si="54"/>
        <v/>
      </c>
      <c r="O274" s="29">
        <f t="shared" si="55"/>
        <v>0</v>
      </c>
      <c r="P274" s="29">
        <f t="shared" si="56"/>
        <v>0</v>
      </c>
      <c r="Q274" s="29">
        <f>IF(A274&lt;&gt;"",SUM(F$2:F274),Q273)</f>
        <v>8</v>
      </c>
      <c r="R274" s="30">
        <f t="shared" si="65"/>
        <v>0</v>
      </c>
    </row>
    <row r="275" spans="1:18" x14ac:dyDescent="0.25">
      <c r="A275" s="27" t="str">
        <f>IF('Data Sheet'!A275="","",'Data Sheet'!A275)</f>
        <v/>
      </c>
      <c r="B275" s="28" t="str">
        <f>IF('Data Sheet'!B275="","",'Data Sheet'!B275)</f>
        <v/>
      </c>
      <c r="C275" s="28" t="str">
        <f>IF('Data Sheet'!C275="","",'Data Sheet'!C275)</f>
        <v/>
      </c>
      <c r="D275" s="28" t="str">
        <f>IF('Data Sheet'!D275="","",'Data Sheet'!D275)</f>
        <v/>
      </c>
      <c r="E275" s="29" t="str">
        <f t="shared" si="57"/>
        <v>C</v>
      </c>
      <c r="F275" s="51">
        <v>0</v>
      </c>
      <c r="G275" s="49">
        <f t="shared" si="58"/>
        <v>0</v>
      </c>
      <c r="H275" s="49">
        <f t="shared" si="59"/>
        <v>0</v>
      </c>
      <c r="I275" s="49">
        <f t="shared" si="60"/>
        <v>0</v>
      </c>
      <c r="J275" s="49">
        <f t="shared" si="61"/>
        <v>0</v>
      </c>
      <c r="K275" s="49">
        <f t="shared" si="62"/>
        <v>0</v>
      </c>
      <c r="L275" s="49">
        <f t="shared" si="63"/>
        <v>0</v>
      </c>
      <c r="M275" s="49">
        <f t="shared" si="64"/>
        <v>0</v>
      </c>
      <c r="N275" s="29" t="str">
        <f t="shared" si="54"/>
        <v/>
      </c>
      <c r="O275" s="29">
        <f t="shared" si="55"/>
        <v>0</v>
      </c>
      <c r="P275" s="29">
        <f t="shared" si="56"/>
        <v>0</v>
      </c>
      <c r="Q275" s="29">
        <f>IF(A275&lt;&gt;"",SUM(F$2:F275),Q274)</f>
        <v>8</v>
      </c>
      <c r="R275" s="30">
        <f t="shared" si="65"/>
        <v>0</v>
      </c>
    </row>
    <row r="276" spans="1:18" x14ac:dyDescent="0.25">
      <c r="A276" s="27" t="str">
        <f>IF('Data Sheet'!A276="","",'Data Sheet'!A276)</f>
        <v/>
      </c>
      <c r="B276" s="28" t="str">
        <f>IF('Data Sheet'!B276="","",'Data Sheet'!B276)</f>
        <v/>
      </c>
      <c r="C276" s="28" t="str">
        <f>IF('Data Sheet'!C276="","",'Data Sheet'!C276)</f>
        <v/>
      </c>
      <c r="D276" s="28" t="str">
        <f>IF('Data Sheet'!D276="","",'Data Sheet'!D276)</f>
        <v/>
      </c>
      <c r="E276" s="29" t="str">
        <f t="shared" si="57"/>
        <v>C</v>
      </c>
      <c r="F276" s="51">
        <v>0</v>
      </c>
      <c r="G276" s="49">
        <f t="shared" si="58"/>
        <v>0</v>
      </c>
      <c r="H276" s="49">
        <f t="shared" si="59"/>
        <v>0</v>
      </c>
      <c r="I276" s="49">
        <f t="shared" si="60"/>
        <v>0</v>
      </c>
      <c r="J276" s="49">
        <f t="shared" si="61"/>
        <v>0</v>
      </c>
      <c r="K276" s="49">
        <f t="shared" si="62"/>
        <v>0</v>
      </c>
      <c r="L276" s="49">
        <f t="shared" si="63"/>
        <v>0</v>
      </c>
      <c r="M276" s="49">
        <f t="shared" si="64"/>
        <v>0</v>
      </c>
      <c r="N276" s="29" t="str">
        <f t="shared" si="54"/>
        <v/>
      </c>
      <c r="O276" s="29">
        <f t="shared" si="55"/>
        <v>0</v>
      </c>
      <c r="P276" s="29">
        <f t="shared" si="56"/>
        <v>0</v>
      </c>
      <c r="Q276" s="29">
        <f>IF(A276&lt;&gt;"",SUM(F$2:F276),Q275)</f>
        <v>8</v>
      </c>
      <c r="R276" s="30">
        <f t="shared" si="65"/>
        <v>0</v>
      </c>
    </row>
    <row r="277" spans="1:18" x14ac:dyDescent="0.25">
      <c r="A277" s="27" t="str">
        <f>IF('Data Sheet'!A277="","",'Data Sheet'!A277)</f>
        <v/>
      </c>
      <c r="B277" s="28" t="str">
        <f>IF('Data Sheet'!B277="","",'Data Sheet'!B277)</f>
        <v/>
      </c>
      <c r="C277" s="28" t="str">
        <f>IF('Data Sheet'!C277="","",'Data Sheet'!C277)</f>
        <v/>
      </c>
      <c r="D277" s="28" t="str">
        <f>IF('Data Sheet'!D277="","",'Data Sheet'!D277)</f>
        <v/>
      </c>
      <c r="E277" s="29" t="str">
        <f t="shared" si="57"/>
        <v>C</v>
      </c>
      <c r="F277" s="51">
        <v>0</v>
      </c>
      <c r="G277" s="49">
        <f t="shared" si="58"/>
        <v>0</v>
      </c>
      <c r="H277" s="49">
        <f t="shared" si="59"/>
        <v>0</v>
      </c>
      <c r="I277" s="49">
        <f t="shared" si="60"/>
        <v>0</v>
      </c>
      <c r="J277" s="49">
        <f t="shared" si="61"/>
        <v>0</v>
      </c>
      <c r="K277" s="49">
        <f t="shared" si="62"/>
        <v>0</v>
      </c>
      <c r="L277" s="49">
        <f t="shared" si="63"/>
        <v>0</v>
      </c>
      <c r="M277" s="49">
        <f t="shared" si="64"/>
        <v>0</v>
      </c>
      <c r="N277" s="29" t="str">
        <f t="shared" si="54"/>
        <v/>
      </c>
      <c r="O277" s="29">
        <f t="shared" si="55"/>
        <v>0</v>
      </c>
      <c r="P277" s="29">
        <f t="shared" si="56"/>
        <v>0</v>
      </c>
      <c r="Q277" s="29">
        <f>IF(A277&lt;&gt;"",SUM(F$2:F277),Q276)</f>
        <v>8</v>
      </c>
      <c r="R277" s="30">
        <f t="shared" si="65"/>
        <v>0</v>
      </c>
    </row>
    <row r="278" spans="1:18" x14ac:dyDescent="0.25">
      <c r="A278" s="27" t="str">
        <f>IF('Data Sheet'!A278="","",'Data Sheet'!A278)</f>
        <v/>
      </c>
      <c r="B278" s="28" t="str">
        <f>IF('Data Sheet'!B278="","",'Data Sheet'!B278)</f>
        <v/>
      </c>
      <c r="C278" s="28" t="str">
        <f>IF('Data Sheet'!C278="","",'Data Sheet'!C278)</f>
        <v/>
      </c>
      <c r="D278" s="28" t="str">
        <f>IF('Data Sheet'!D278="","",'Data Sheet'!D278)</f>
        <v/>
      </c>
      <c r="E278" s="29" t="str">
        <f t="shared" si="57"/>
        <v>C</v>
      </c>
      <c r="F278" s="51">
        <v>0</v>
      </c>
      <c r="G278" s="49">
        <f t="shared" si="58"/>
        <v>0</v>
      </c>
      <c r="H278" s="49">
        <f t="shared" si="59"/>
        <v>0</v>
      </c>
      <c r="I278" s="49">
        <f t="shared" si="60"/>
        <v>0</v>
      </c>
      <c r="J278" s="49">
        <f t="shared" si="61"/>
        <v>0</v>
      </c>
      <c r="K278" s="49">
        <f t="shared" si="62"/>
        <v>0</v>
      </c>
      <c r="L278" s="49">
        <f t="shared" si="63"/>
        <v>0</v>
      </c>
      <c r="M278" s="49">
        <f t="shared" si="64"/>
        <v>0</v>
      </c>
      <c r="N278" s="29" t="str">
        <f t="shared" si="54"/>
        <v/>
      </c>
      <c r="O278" s="29">
        <f t="shared" si="55"/>
        <v>0</v>
      </c>
      <c r="P278" s="29">
        <f t="shared" si="56"/>
        <v>0</v>
      </c>
      <c r="Q278" s="29">
        <f>IF(A278&lt;&gt;"",SUM(F$2:F278),Q277)</f>
        <v>8</v>
      </c>
      <c r="R278" s="30">
        <f t="shared" si="65"/>
        <v>0</v>
      </c>
    </row>
    <row r="279" spans="1:18" x14ac:dyDescent="0.25">
      <c r="A279" s="27" t="str">
        <f>IF('Data Sheet'!A279="","",'Data Sheet'!A279)</f>
        <v/>
      </c>
      <c r="B279" s="28" t="str">
        <f>IF('Data Sheet'!B279="","",'Data Sheet'!B279)</f>
        <v/>
      </c>
      <c r="C279" s="28" t="str">
        <f>IF('Data Sheet'!C279="","",'Data Sheet'!C279)</f>
        <v/>
      </c>
      <c r="D279" s="28" t="str">
        <f>IF('Data Sheet'!D279="","",'Data Sheet'!D279)</f>
        <v/>
      </c>
      <c r="E279" s="29" t="str">
        <f t="shared" si="57"/>
        <v>C</v>
      </c>
      <c r="F279" s="51">
        <v>0</v>
      </c>
      <c r="G279" s="49">
        <f t="shared" si="58"/>
        <v>0</v>
      </c>
      <c r="H279" s="49">
        <f t="shared" si="59"/>
        <v>0</v>
      </c>
      <c r="I279" s="49">
        <f t="shared" si="60"/>
        <v>0</v>
      </c>
      <c r="J279" s="49">
        <f t="shared" si="61"/>
        <v>0</v>
      </c>
      <c r="K279" s="49">
        <f t="shared" si="62"/>
        <v>0</v>
      </c>
      <c r="L279" s="49">
        <f t="shared" si="63"/>
        <v>0</v>
      </c>
      <c r="M279" s="49">
        <f t="shared" si="64"/>
        <v>0</v>
      </c>
      <c r="N279" s="29" t="str">
        <f t="shared" si="54"/>
        <v/>
      </c>
      <c r="O279" s="29">
        <f t="shared" si="55"/>
        <v>0</v>
      </c>
      <c r="P279" s="29">
        <f t="shared" si="56"/>
        <v>0</v>
      </c>
      <c r="Q279" s="29">
        <f>IF(A279&lt;&gt;"",SUM(F$2:F279),Q278)</f>
        <v>8</v>
      </c>
      <c r="R279" s="30">
        <f t="shared" si="65"/>
        <v>0</v>
      </c>
    </row>
    <row r="280" spans="1:18" x14ac:dyDescent="0.25">
      <c r="A280" s="27" t="str">
        <f>IF('Data Sheet'!A280="","",'Data Sheet'!A280)</f>
        <v/>
      </c>
      <c r="B280" s="28" t="str">
        <f>IF('Data Sheet'!B280="","",'Data Sheet'!B280)</f>
        <v/>
      </c>
      <c r="C280" s="28" t="str">
        <f>IF('Data Sheet'!C280="","",'Data Sheet'!C280)</f>
        <v/>
      </c>
      <c r="D280" s="28" t="str">
        <f>IF('Data Sheet'!D280="","",'Data Sheet'!D280)</f>
        <v/>
      </c>
      <c r="E280" s="29" t="str">
        <f t="shared" si="57"/>
        <v>C</v>
      </c>
      <c r="F280" s="51">
        <v>0</v>
      </c>
      <c r="G280" s="49">
        <f t="shared" si="58"/>
        <v>0</v>
      </c>
      <c r="H280" s="49">
        <f t="shared" si="59"/>
        <v>0</v>
      </c>
      <c r="I280" s="49">
        <f t="shared" si="60"/>
        <v>0</v>
      </c>
      <c r="J280" s="49">
        <f t="shared" si="61"/>
        <v>0</v>
      </c>
      <c r="K280" s="49">
        <f t="shared" si="62"/>
        <v>0</v>
      </c>
      <c r="L280" s="49">
        <f t="shared" si="63"/>
        <v>0</v>
      </c>
      <c r="M280" s="49">
        <f t="shared" si="64"/>
        <v>0</v>
      </c>
      <c r="N280" s="29" t="str">
        <f t="shared" si="54"/>
        <v/>
      </c>
      <c r="O280" s="29">
        <f t="shared" si="55"/>
        <v>0</v>
      </c>
      <c r="P280" s="29">
        <f t="shared" si="56"/>
        <v>0</v>
      </c>
      <c r="Q280" s="29">
        <f>IF(A280&lt;&gt;"",SUM(F$2:F280),Q279)</f>
        <v>8</v>
      </c>
      <c r="R280" s="30">
        <f t="shared" si="65"/>
        <v>0</v>
      </c>
    </row>
    <row r="281" spans="1:18" x14ac:dyDescent="0.25">
      <c r="A281" s="27" t="str">
        <f>IF('Data Sheet'!A281="","",'Data Sheet'!A281)</f>
        <v/>
      </c>
      <c r="B281" s="28" t="str">
        <f>IF('Data Sheet'!B281="","",'Data Sheet'!B281)</f>
        <v/>
      </c>
      <c r="C281" s="28" t="str">
        <f>IF('Data Sheet'!C281="","",'Data Sheet'!C281)</f>
        <v/>
      </c>
      <c r="D281" s="28" t="str">
        <f>IF('Data Sheet'!D281="","",'Data Sheet'!D281)</f>
        <v/>
      </c>
      <c r="E281" s="29" t="str">
        <f t="shared" si="57"/>
        <v>C</v>
      </c>
      <c r="F281" s="51">
        <v>0</v>
      </c>
      <c r="G281" s="49">
        <f t="shared" si="58"/>
        <v>0</v>
      </c>
      <c r="H281" s="49">
        <f t="shared" si="59"/>
        <v>0</v>
      </c>
      <c r="I281" s="49">
        <f t="shared" si="60"/>
        <v>0</v>
      </c>
      <c r="J281" s="49">
        <f t="shared" si="61"/>
        <v>0</v>
      </c>
      <c r="K281" s="49">
        <f t="shared" si="62"/>
        <v>0</v>
      </c>
      <c r="L281" s="49">
        <f t="shared" si="63"/>
        <v>0</v>
      </c>
      <c r="M281" s="49">
        <f t="shared" si="64"/>
        <v>0</v>
      </c>
      <c r="N281" s="29" t="str">
        <f t="shared" si="54"/>
        <v/>
      </c>
      <c r="O281" s="29">
        <f t="shared" si="55"/>
        <v>0</v>
      </c>
      <c r="P281" s="29">
        <f t="shared" si="56"/>
        <v>0</v>
      </c>
      <c r="Q281" s="29">
        <f>IF(A281&lt;&gt;"",SUM(F$2:F281),Q280)</f>
        <v>8</v>
      </c>
      <c r="R281" s="30">
        <f t="shared" si="65"/>
        <v>0</v>
      </c>
    </row>
    <row r="282" spans="1:18" x14ac:dyDescent="0.25">
      <c r="A282" s="27" t="str">
        <f>IF('Data Sheet'!A282="","",'Data Sheet'!A282)</f>
        <v/>
      </c>
      <c r="B282" s="28" t="str">
        <f>IF('Data Sheet'!B282="","",'Data Sheet'!B282)</f>
        <v/>
      </c>
      <c r="C282" s="28" t="str">
        <f>IF('Data Sheet'!C282="","",'Data Sheet'!C282)</f>
        <v/>
      </c>
      <c r="D282" s="28" t="str">
        <f>IF('Data Sheet'!D282="","",'Data Sheet'!D282)</f>
        <v/>
      </c>
      <c r="E282" s="29" t="str">
        <f t="shared" si="57"/>
        <v>C</v>
      </c>
      <c r="F282" s="51">
        <v>0</v>
      </c>
      <c r="G282" s="49">
        <f t="shared" si="58"/>
        <v>0</v>
      </c>
      <c r="H282" s="49">
        <f t="shared" si="59"/>
        <v>0</v>
      </c>
      <c r="I282" s="49">
        <f t="shared" si="60"/>
        <v>0</v>
      </c>
      <c r="J282" s="49">
        <f t="shared" si="61"/>
        <v>0</v>
      </c>
      <c r="K282" s="49">
        <f t="shared" si="62"/>
        <v>0</v>
      </c>
      <c r="L282" s="49">
        <f t="shared" si="63"/>
        <v>0</v>
      </c>
      <c r="M282" s="49">
        <f t="shared" si="64"/>
        <v>0</v>
      </c>
      <c r="N282" s="29" t="str">
        <f t="shared" si="54"/>
        <v/>
      </c>
      <c r="O282" s="29">
        <f t="shared" si="55"/>
        <v>0</v>
      </c>
      <c r="P282" s="29">
        <f t="shared" si="56"/>
        <v>0</v>
      </c>
      <c r="Q282" s="29">
        <f>IF(A282&lt;&gt;"",SUM(F$2:F282),Q281)</f>
        <v>8</v>
      </c>
      <c r="R282" s="30">
        <f t="shared" si="65"/>
        <v>0</v>
      </c>
    </row>
    <row r="283" spans="1:18" x14ac:dyDescent="0.25">
      <c r="A283" s="27" t="str">
        <f>IF('Data Sheet'!A283="","",'Data Sheet'!A283)</f>
        <v/>
      </c>
      <c r="B283" s="28" t="str">
        <f>IF('Data Sheet'!B283="","",'Data Sheet'!B283)</f>
        <v/>
      </c>
      <c r="C283" s="28" t="str">
        <f>IF('Data Sheet'!C283="","",'Data Sheet'!C283)</f>
        <v/>
      </c>
      <c r="D283" s="28" t="str">
        <f>IF('Data Sheet'!D283="","",'Data Sheet'!D283)</f>
        <v/>
      </c>
      <c r="E283" s="29" t="str">
        <f t="shared" si="57"/>
        <v>C</v>
      </c>
      <c r="F283" s="51">
        <v>0</v>
      </c>
      <c r="G283" s="49">
        <f t="shared" si="58"/>
        <v>0</v>
      </c>
      <c r="H283" s="49">
        <f t="shared" si="59"/>
        <v>0</v>
      </c>
      <c r="I283" s="49">
        <f t="shared" si="60"/>
        <v>0</v>
      </c>
      <c r="J283" s="49">
        <f t="shared" si="61"/>
        <v>0</v>
      </c>
      <c r="K283" s="49">
        <f t="shared" si="62"/>
        <v>0</v>
      </c>
      <c r="L283" s="49">
        <f t="shared" si="63"/>
        <v>0</v>
      </c>
      <c r="M283" s="49">
        <f t="shared" si="64"/>
        <v>0</v>
      </c>
      <c r="N283" s="29" t="str">
        <f t="shared" si="54"/>
        <v/>
      </c>
      <c r="O283" s="29">
        <f t="shared" si="55"/>
        <v>0</v>
      </c>
      <c r="P283" s="29">
        <f t="shared" si="56"/>
        <v>0</v>
      </c>
      <c r="Q283" s="29">
        <f>IF(A283&lt;&gt;"",SUM(F$2:F283),Q282)</f>
        <v>8</v>
      </c>
      <c r="R283" s="30">
        <f t="shared" si="65"/>
        <v>0</v>
      </c>
    </row>
    <row r="284" spans="1:18" x14ac:dyDescent="0.25">
      <c r="A284" s="27" t="str">
        <f>IF('Data Sheet'!A284="","",'Data Sheet'!A284)</f>
        <v/>
      </c>
      <c r="B284" s="28" t="str">
        <f>IF('Data Sheet'!B284="","",'Data Sheet'!B284)</f>
        <v/>
      </c>
      <c r="C284" s="28" t="str">
        <f>IF('Data Sheet'!C284="","",'Data Sheet'!C284)</f>
        <v/>
      </c>
      <c r="D284" s="28" t="str">
        <f>IF('Data Sheet'!D284="","",'Data Sheet'!D284)</f>
        <v/>
      </c>
      <c r="E284" s="29" t="str">
        <f t="shared" si="57"/>
        <v>C</v>
      </c>
      <c r="F284" s="51">
        <v>0</v>
      </c>
      <c r="G284" s="49">
        <f t="shared" si="58"/>
        <v>0</v>
      </c>
      <c r="H284" s="49">
        <f t="shared" si="59"/>
        <v>0</v>
      </c>
      <c r="I284" s="49">
        <f t="shared" si="60"/>
        <v>0</v>
      </c>
      <c r="J284" s="49">
        <f t="shared" si="61"/>
        <v>0</v>
      </c>
      <c r="K284" s="49">
        <f t="shared" si="62"/>
        <v>0</v>
      </c>
      <c r="L284" s="49">
        <f t="shared" si="63"/>
        <v>0</v>
      </c>
      <c r="M284" s="49">
        <f t="shared" si="64"/>
        <v>0</v>
      </c>
      <c r="N284" s="29" t="str">
        <f t="shared" si="54"/>
        <v/>
      </c>
      <c r="O284" s="29">
        <f t="shared" si="55"/>
        <v>0</v>
      </c>
      <c r="P284" s="29">
        <f t="shared" si="56"/>
        <v>0</v>
      </c>
      <c r="Q284" s="29">
        <f>IF(A284&lt;&gt;"",SUM(F$2:F284),Q283)</f>
        <v>8</v>
      </c>
      <c r="R284" s="30">
        <f t="shared" si="65"/>
        <v>0</v>
      </c>
    </row>
    <row r="285" spans="1:18" x14ac:dyDescent="0.25">
      <c r="A285" s="27" t="str">
        <f>IF('Data Sheet'!A285="","",'Data Sheet'!A285)</f>
        <v/>
      </c>
      <c r="B285" s="28" t="str">
        <f>IF('Data Sheet'!B285="","",'Data Sheet'!B285)</f>
        <v/>
      </c>
      <c r="C285" s="28" t="str">
        <f>IF('Data Sheet'!C285="","",'Data Sheet'!C285)</f>
        <v/>
      </c>
      <c r="D285" s="28" t="str">
        <f>IF('Data Sheet'!D285="","",'Data Sheet'!D285)</f>
        <v/>
      </c>
      <c r="E285" s="29" t="str">
        <f t="shared" si="57"/>
        <v>C</v>
      </c>
      <c r="F285" s="51">
        <v>0</v>
      </c>
      <c r="G285" s="49">
        <f t="shared" si="58"/>
        <v>0</v>
      </c>
      <c r="H285" s="49">
        <f t="shared" si="59"/>
        <v>0</v>
      </c>
      <c r="I285" s="49">
        <f t="shared" si="60"/>
        <v>0</v>
      </c>
      <c r="J285" s="49">
        <f t="shared" si="61"/>
        <v>0</v>
      </c>
      <c r="K285" s="49">
        <f t="shared" si="62"/>
        <v>0</v>
      </c>
      <c r="L285" s="49">
        <f t="shared" si="63"/>
        <v>0</v>
      </c>
      <c r="M285" s="49">
        <f t="shared" si="64"/>
        <v>0</v>
      </c>
      <c r="N285" s="29" t="str">
        <f t="shared" si="54"/>
        <v/>
      </c>
      <c r="O285" s="29">
        <f t="shared" si="55"/>
        <v>0</v>
      </c>
      <c r="P285" s="29">
        <f t="shared" si="56"/>
        <v>0</v>
      </c>
      <c r="Q285" s="29">
        <f>IF(A285&lt;&gt;"",SUM(F$2:F285),Q284)</f>
        <v>8</v>
      </c>
      <c r="R285" s="30">
        <f t="shared" si="65"/>
        <v>0</v>
      </c>
    </row>
    <row r="286" spans="1:18" x14ac:dyDescent="0.25">
      <c r="A286" s="27" t="str">
        <f>IF('Data Sheet'!A286="","",'Data Sheet'!A286)</f>
        <v/>
      </c>
      <c r="B286" s="28" t="str">
        <f>IF('Data Sheet'!B286="","",'Data Sheet'!B286)</f>
        <v/>
      </c>
      <c r="C286" s="28" t="str">
        <f>IF('Data Sheet'!C286="","",'Data Sheet'!C286)</f>
        <v/>
      </c>
      <c r="D286" s="28" t="str">
        <f>IF('Data Sheet'!D286="","",'Data Sheet'!D286)</f>
        <v/>
      </c>
      <c r="E286" s="29" t="str">
        <f t="shared" si="57"/>
        <v>C</v>
      </c>
      <c r="F286" s="51">
        <v>0</v>
      </c>
      <c r="G286" s="49">
        <f t="shared" si="58"/>
        <v>0</v>
      </c>
      <c r="H286" s="49">
        <f t="shared" si="59"/>
        <v>0</v>
      </c>
      <c r="I286" s="49">
        <f t="shared" si="60"/>
        <v>0</v>
      </c>
      <c r="J286" s="49">
        <f t="shared" si="61"/>
        <v>0</v>
      </c>
      <c r="K286" s="49">
        <f t="shared" si="62"/>
        <v>0</v>
      </c>
      <c r="L286" s="49">
        <f t="shared" si="63"/>
        <v>0</v>
      </c>
      <c r="M286" s="49">
        <f t="shared" si="64"/>
        <v>0</v>
      </c>
      <c r="N286" s="29" t="str">
        <f t="shared" si="54"/>
        <v/>
      </c>
      <c r="O286" s="29">
        <f t="shared" si="55"/>
        <v>0</v>
      </c>
      <c r="P286" s="29">
        <f t="shared" si="56"/>
        <v>0</v>
      </c>
      <c r="Q286" s="29">
        <f>IF(A286&lt;&gt;"",SUM(F$2:F286),Q285)</f>
        <v>8</v>
      </c>
      <c r="R286" s="30">
        <f t="shared" si="65"/>
        <v>0</v>
      </c>
    </row>
    <row r="287" spans="1:18" x14ac:dyDescent="0.25">
      <c r="A287" s="27" t="str">
        <f>IF('Data Sheet'!A287="","",'Data Sheet'!A287)</f>
        <v/>
      </c>
      <c r="B287" s="28" t="str">
        <f>IF('Data Sheet'!B287="","",'Data Sheet'!B287)</f>
        <v/>
      </c>
      <c r="C287" s="28" t="str">
        <f>IF('Data Sheet'!C287="","",'Data Sheet'!C287)</f>
        <v/>
      </c>
      <c r="D287" s="28" t="str">
        <f>IF('Data Sheet'!D287="","",'Data Sheet'!D287)</f>
        <v/>
      </c>
      <c r="E287" s="29" t="str">
        <f t="shared" si="57"/>
        <v>C</v>
      </c>
      <c r="F287" s="51">
        <v>0</v>
      </c>
      <c r="G287" s="49">
        <f t="shared" si="58"/>
        <v>0</v>
      </c>
      <c r="H287" s="49">
        <f t="shared" si="59"/>
        <v>0</v>
      </c>
      <c r="I287" s="49">
        <f t="shared" si="60"/>
        <v>0</v>
      </c>
      <c r="J287" s="49">
        <f t="shared" si="61"/>
        <v>0</v>
      </c>
      <c r="K287" s="49">
        <f t="shared" si="62"/>
        <v>0</v>
      </c>
      <c r="L287" s="49">
        <f t="shared" si="63"/>
        <v>0</v>
      </c>
      <c r="M287" s="49">
        <f t="shared" si="64"/>
        <v>0</v>
      </c>
      <c r="N287" s="29" t="str">
        <f t="shared" si="54"/>
        <v/>
      </c>
      <c r="O287" s="29">
        <f t="shared" si="55"/>
        <v>0</v>
      </c>
      <c r="P287" s="29">
        <f t="shared" si="56"/>
        <v>0</v>
      </c>
      <c r="Q287" s="29">
        <f>IF(A287&lt;&gt;"",SUM(F$2:F287),Q286)</f>
        <v>8</v>
      </c>
      <c r="R287" s="30">
        <f t="shared" si="65"/>
        <v>0</v>
      </c>
    </row>
    <row r="288" spans="1:18" x14ac:dyDescent="0.25">
      <c r="A288" s="27" t="str">
        <f>IF('Data Sheet'!A288="","",'Data Sheet'!A288)</f>
        <v/>
      </c>
      <c r="B288" s="28" t="str">
        <f>IF('Data Sheet'!B288="","",'Data Sheet'!B288)</f>
        <v/>
      </c>
      <c r="C288" s="28" t="str">
        <f>IF('Data Sheet'!C288="","",'Data Sheet'!C288)</f>
        <v/>
      </c>
      <c r="D288" s="28" t="str">
        <f>IF('Data Sheet'!D288="","",'Data Sheet'!D288)</f>
        <v/>
      </c>
      <c r="E288" s="29" t="str">
        <f t="shared" si="57"/>
        <v>C</v>
      </c>
      <c r="F288" s="51">
        <v>0</v>
      </c>
      <c r="G288" s="49">
        <f t="shared" si="58"/>
        <v>0</v>
      </c>
      <c r="H288" s="49">
        <f t="shared" si="59"/>
        <v>0</v>
      </c>
      <c r="I288" s="49">
        <f t="shared" si="60"/>
        <v>0</v>
      </c>
      <c r="J288" s="49">
        <f t="shared" si="61"/>
        <v>0</v>
      </c>
      <c r="K288" s="49">
        <f t="shared" si="62"/>
        <v>0</v>
      </c>
      <c r="L288" s="49">
        <f t="shared" si="63"/>
        <v>0</v>
      </c>
      <c r="M288" s="49">
        <f t="shared" si="64"/>
        <v>0</v>
      </c>
      <c r="N288" s="29" t="str">
        <f t="shared" si="54"/>
        <v/>
      </c>
      <c r="O288" s="29">
        <f t="shared" si="55"/>
        <v>0</v>
      </c>
      <c r="P288" s="29">
        <f t="shared" si="56"/>
        <v>0</v>
      </c>
      <c r="Q288" s="29">
        <f>IF(A288&lt;&gt;"",SUM(F$2:F288),Q287)</f>
        <v>8</v>
      </c>
      <c r="R288" s="30">
        <f t="shared" si="65"/>
        <v>0</v>
      </c>
    </row>
    <row r="289" spans="1:18" x14ac:dyDescent="0.25">
      <c r="A289" s="27" t="str">
        <f>IF('Data Sheet'!A289="","",'Data Sheet'!A289)</f>
        <v/>
      </c>
      <c r="B289" s="28" t="str">
        <f>IF('Data Sheet'!B289="","",'Data Sheet'!B289)</f>
        <v/>
      </c>
      <c r="C289" s="28" t="str">
        <f>IF('Data Sheet'!C289="","",'Data Sheet'!C289)</f>
        <v/>
      </c>
      <c r="D289" s="28" t="str">
        <f>IF('Data Sheet'!D289="","",'Data Sheet'!D289)</f>
        <v/>
      </c>
      <c r="E289" s="29" t="str">
        <f t="shared" si="57"/>
        <v>C</v>
      </c>
      <c r="F289" s="51">
        <v>0</v>
      </c>
      <c r="G289" s="49">
        <f t="shared" si="58"/>
        <v>0</v>
      </c>
      <c r="H289" s="49">
        <f t="shared" si="59"/>
        <v>0</v>
      </c>
      <c r="I289" s="49">
        <f t="shared" si="60"/>
        <v>0</v>
      </c>
      <c r="J289" s="49">
        <f t="shared" si="61"/>
        <v>0</v>
      </c>
      <c r="K289" s="49">
        <f t="shared" si="62"/>
        <v>0</v>
      </c>
      <c r="L289" s="49">
        <f t="shared" si="63"/>
        <v>0</v>
      </c>
      <c r="M289" s="49">
        <f t="shared" si="64"/>
        <v>0</v>
      </c>
      <c r="N289" s="29" t="str">
        <f t="shared" si="54"/>
        <v/>
      </c>
      <c r="O289" s="29">
        <f t="shared" si="55"/>
        <v>0</v>
      </c>
      <c r="P289" s="29">
        <f t="shared" si="56"/>
        <v>0</v>
      </c>
      <c r="Q289" s="29">
        <f>IF(A289&lt;&gt;"",SUM(F$2:F289),Q288)</f>
        <v>8</v>
      </c>
      <c r="R289" s="30">
        <f t="shared" si="65"/>
        <v>0</v>
      </c>
    </row>
    <row r="290" spans="1:18" x14ac:dyDescent="0.25">
      <c r="A290" s="27" t="str">
        <f>IF('Data Sheet'!A290="","",'Data Sheet'!A290)</f>
        <v/>
      </c>
      <c r="B290" s="28" t="str">
        <f>IF('Data Sheet'!B290="","",'Data Sheet'!B290)</f>
        <v/>
      </c>
      <c r="C290" s="28" t="str">
        <f>IF('Data Sheet'!C290="","",'Data Sheet'!C290)</f>
        <v/>
      </c>
      <c r="D290" s="28" t="str">
        <f>IF('Data Sheet'!D290="","",'Data Sheet'!D290)</f>
        <v/>
      </c>
      <c r="E290" s="29" t="str">
        <f t="shared" si="57"/>
        <v>C</v>
      </c>
      <c r="F290" s="51">
        <v>0</v>
      </c>
      <c r="G290" s="49">
        <f t="shared" si="58"/>
        <v>0</v>
      </c>
      <c r="H290" s="49">
        <f t="shared" si="59"/>
        <v>0</v>
      </c>
      <c r="I290" s="49">
        <f t="shared" si="60"/>
        <v>0</v>
      </c>
      <c r="J290" s="49">
        <f t="shared" si="61"/>
        <v>0</v>
      </c>
      <c r="K290" s="49">
        <f t="shared" si="62"/>
        <v>0</v>
      </c>
      <c r="L290" s="49">
        <f t="shared" si="63"/>
        <v>0</v>
      </c>
      <c r="M290" s="49">
        <f t="shared" si="64"/>
        <v>0</v>
      </c>
      <c r="N290" s="29" t="str">
        <f t="shared" si="54"/>
        <v/>
      </c>
      <c r="O290" s="29">
        <f t="shared" si="55"/>
        <v>0</v>
      </c>
      <c r="P290" s="29">
        <f t="shared" si="56"/>
        <v>0</v>
      </c>
      <c r="Q290" s="29">
        <f>IF(A290&lt;&gt;"",SUM(F$2:F290),Q289)</f>
        <v>8</v>
      </c>
      <c r="R290" s="30">
        <f t="shared" si="65"/>
        <v>0</v>
      </c>
    </row>
    <row r="291" spans="1:18" x14ac:dyDescent="0.25">
      <c r="A291" s="27" t="str">
        <f>IF('Data Sheet'!A291="","",'Data Sheet'!A291)</f>
        <v/>
      </c>
      <c r="B291" s="28" t="str">
        <f>IF('Data Sheet'!B291="","",'Data Sheet'!B291)</f>
        <v/>
      </c>
      <c r="C291" s="28" t="str">
        <f>IF('Data Sheet'!C291="","",'Data Sheet'!C291)</f>
        <v/>
      </c>
      <c r="D291" s="28" t="str">
        <f>IF('Data Sheet'!D291="","",'Data Sheet'!D291)</f>
        <v/>
      </c>
      <c r="E291" s="29" t="str">
        <f t="shared" si="57"/>
        <v>C</v>
      </c>
      <c r="F291" s="51">
        <v>0</v>
      </c>
      <c r="G291" s="49">
        <f t="shared" si="58"/>
        <v>0</v>
      </c>
      <c r="H291" s="49">
        <f t="shared" si="59"/>
        <v>0</v>
      </c>
      <c r="I291" s="49">
        <f t="shared" si="60"/>
        <v>0</v>
      </c>
      <c r="J291" s="49">
        <f t="shared" si="61"/>
        <v>0</v>
      </c>
      <c r="K291" s="49">
        <f t="shared" si="62"/>
        <v>0</v>
      </c>
      <c r="L291" s="49">
        <f t="shared" si="63"/>
        <v>0</v>
      </c>
      <c r="M291" s="49">
        <f t="shared" si="64"/>
        <v>0</v>
      </c>
      <c r="N291" s="29" t="str">
        <f t="shared" si="54"/>
        <v/>
      </c>
      <c r="O291" s="29">
        <f t="shared" si="55"/>
        <v>0</v>
      </c>
      <c r="P291" s="29">
        <f t="shared" si="56"/>
        <v>0</v>
      </c>
      <c r="Q291" s="29">
        <f>IF(A291&lt;&gt;"",SUM(F$2:F291),Q290)</f>
        <v>8</v>
      </c>
      <c r="R291" s="30">
        <f t="shared" si="65"/>
        <v>0</v>
      </c>
    </row>
    <row r="292" spans="1:18" x14ac:dyDescent="0.25">
      <c r="A292" s="27" t="str">
        <f>IF('Data Sheet'!A292="","",'Data Sheet'!A292)</f>
        <v/>
      </c>
      <c r="B292" s="28" t="str">
        <f>IF('Data Sheet'!B292="","",'Data Sheet'!B292)</f>
        <v/>
      </c>
      <c r="C292" s="28" t="str">
        <f>IF('Data Sheet'!C292="","",'Data Sheet'!C292)</f>
        <v/>
      </c>
      <c r="D292" s="28" t="str">
        <f>IF('Data Sheet'!D292="","",'Data Sheet'!D292)</f>
        <v/>
      </c>
      <c r="E292" s="29" t="str">
        <f t="shared" si="57"/>
        <v>C</v>
      </c>
      <c r="F292" s="51">
        <v>0</v>
      </c>
      <c r="G292" s="49">
        <f t="shared" si="58"/>
        <v>0</v>
      </c>
      <c r="H292" s="49">
        <f t="shared" si="59"/>
        <v>0</v>
      </c>
      <c r="I292" s="49">
        <f t="shared" si="60"/>
        <v>0</v>
      </c>
      <c r="J292" s="49">
        <f t="shared" si="61"/>
        <v>0</v>
      </c>
      <c r="K292" s="49">
        <f t="shared" si="62"/>
        <v>0</v>
      </c>
      <c r="L292" s="49">
        <f t="shared" si="63"/>
        <v>0</v>
      </c>
      <c r="M292" s="49">
        <f t="shared" si="64"/>
        <v>0</v>
      </c>
      <c r="N292" s="29" t="str">
        <f t="shared" si="54"/>
        <v/>
      </c>
      <c r="O292" s="29">
        <f t="shared" si="55"/>
        <v>0</v>
      </c>
      <c r="P292" s="29">
        <f t="shared" si="56"/>
        <v>0</v>
      </c>
      <c r="Q292" s="29">
        <f>IF(A292&lt;&gt;"",SUM(F$2:F292),Q291)</f>
        <v>8</v>
      </c>
      <c r="R292" s="30">
        <f t="shared" si="65"/>
        <v>0</v>
      </c>
    </row>
    <row r="293" spans="1:18" x14ac:dyDescent="0.25">
      <c r="A293" s="27" t="str">
        <f>IF('Data Sheet'!A293="","",'Data Sheet'!A293)</f>
        <v/>
      </c>
      <c r="B293" s="28" t="str">
        <f>IF('Data Sheet'!B293="","",'Data Sheet'!B293)</f>
        <v/>
      </c>
      <c r="C293" s="28" t="str">
        <f>IF('Data Sheet'!C293="","",'Data Sheet'!C293)</f>
        <v/>
      </c>
      <c r="D293" s="28" t="str">
        <f>IF('Data Sheet'!D293="","",'Data Sheet'!D293)</f>
        <v/>
      </c>
      <c r="E293" s="29" t="str">
        <f t="shared" si="57"/>
        <v>C</v>
      </c>
      <c r="F293" s="51">
        <v>0</v>
      </c>
      <c r="G293" s="49">
        <f t="shared" si="58"/>
        <v>0</v>
      </c>
      <c r="H293" s="49">
        <f t="shared" si="59"/>
        <v>0</v>
      </c>
      <c r="I293" s="49">
        <f t="shared" si="60"/>
        <v>0</v>
      </c>
      <c r="J293" s="49">
        <f t="shared" si="61"/>
        <v>0</v>
      </c>
      <c r="K293" s="49">
        <f t="shared" si="62"/>
        <v>0</v>
      </c>
      <c r="L293" s="49">
        <f t="shared" si="63"/>
        <v>0</v>
      </c>
      <c r="M293" s="49">
        <f t="shared" si="64"/>
        <v>0</v>
      </c>
      <c r="N293" s="29" t="str">
        <f t="shared" si="54"/>
        <v/>
      </c>
      <c r="O293" s="29">
        <f t="shared" si="55"/>
        <v>0</v>
      </c>
      <c r="P293" s="29">
        <f t="shared" si="56"/>
        <v>0</v>
      </c>
      <c r="Q293" s="29">
        <f>IF(A293&lt;&gt;"",SUM(F$2:F293),Q292)</f>
        <v>8</v>
      </c>
      <c r="R293" s="30">
        <f t="shared" si="65"/>
        <v>0</v>
      </c>
    </row>
    <row r="294" spans="1:18" x14ac:dyDescent="0.25">
      <c r="A294" s="27" t="str">
        <f>IF('Data Sheet'!A294="","",'Data Sheet'!A294)</f>
        <v/>
      </c>
      <c r="B294" s="28" t="str">
        <f>IF('Data Sheet'!B294="","",'Data Sheet'!B294)</f>
        <v/>
      </c>
      <c r="C294" s="28" t="str">
        <f>IF('Data Sheet'!C294="","",'Data Sheet'!C294)</f>
        <v/>
      </c>
      <c r="D294" s="28" t="str">
        <f>IF('Data Sheet'!D294="","",'Data Sheet'!D294)</f>
        <v/>
      </c>
      <c r="E294" s="29" t="str">
        <f t="shared" si="57"/>
        <v>C</v>
      </c>
      <c r="F294" s="51">
        <v>0</v>
      </c>
      <c r="G294" s="49">
        <f t="shared" si="58"/>
        <v>0</v>
      </c>
      <c r="H294" s="49">
        <f t="shared" si="59"/>
        <v>0</v>
      </c>
      <c r="I294" s="49">
        <f t="shared" si="60"/>
        <v>0</v>
      </c>
      <c r="J294" s="49">
        <f t="shared" si="61"/>
        <v>0</v>
      </c>
      <c r="K294" s="49">
        <f t="shared" si="62"/>
        <v>0</v>
      </c>
      <c r="L294" s="49">
        <f t="shared" si="63"/>
        <v>0</v>
      </c>
      <c r="M294" s="49">
        <f t="shared" si="64"/>
        <v>0</v>
      </c>
      <c r="N294" s="29" t="str">
        <f t="shared" si="54"/>
        <v/>
      </c>
      <c r="O294" s="29">
        <f t="shared" si="55"/>
        <v>0</v>
      </c>
      <c r="P294" s="29">
        <f t="shared" si="56"/>
        <v>0</v>
      </c>
      <c r="Q294" s="29">
        <f>IF(A294&lt;&gt;"",SUM(F$2:F294),Q293)</f>
        <v>8</v>
      </c>
      <c r="R294" s="30">
        <f t="shared" si="65"/>
        <v>0</v>
      </c>
    </row>
    <row r="295" spans="1:18" x14ac:dyDescent="0.25">
      <c r="A295" s="27" t="str">
        <f>IF('Data Sheet'!A295="","",'Data Sheet'!A295)</f>
        <v/>
      </c>
      <c r="B295" s="28" t="str">
        <f>IF('Data Sheet'!B295="","",'Data Sheet'!B295)</f>
        <v/>
      </c>
      <c r="C295" s="28" t="str">
        <f>IF('Data Sheet'!C295="","",'Data Sheet'!C295)</f>
        <v/>
      </c>
      <c r="D295" s="28" t="str">
        <f>IF('Data Sheet'!D295="","",'Data Sheet'!D295)</f>
        <v/>
      </c>
      <c r="E295" s="29" t="str">
        <f t="shared" si="57"/>
        <v>C</v>
      </c>
      <c r="F295" s="51">
        <v>0</v>
      </c>
      <c r="G295" s="49">
        <f t="shared" si="58"/>
        <v>0</v>
      </c>
      <c r="H295" s="49">
        <f t="shared" si="59"/>
        <v>0</v>
      </c>
      <c r="I295" s="49">
        <f t="shared" si="60"/>
        <v>0</v>
      </c>
      <c r="J295" s="49">
        <f t="shared" si="61"/>
        <v>0</v>
      </c>
      <c r="K295" s="49">
        <f t="shared" si="62"/>
        <v>0</v>
      </c>
      <c r="L295" s="49">
        <f t="shared" si="63"/>
        <v>0</v>
      </c>
      <c r="M295" s="49">
        <f t="shared" si="64"/>
        <v>0</v>
      </c>
      <c r="N295" s="29" t="str">
        <f t="shared" si="54"/>
        <v/>
      </c>
      <c r="O295" s="29">
        <f t="shared" si="55"/>
        <v>0</v>
      </c>
      <c r="P295" s="29">
        <f t="shared" si="56"/>
        <v>0</v>
      </c>
      <c r="Q295" s="29">
        <f>IF(A295&lt;&gt;"",SUM(F$2:F295),Q294)</f>
        <v>8</v>
      </c>
      <c r="R295" s="30">
        <f t="shared" si="65"/>
        <v>0</v>
      </c>
    </row>
    <row r="296" spans="1:18" x14ac:dyDescent="0.25">
      <c r="A296" s="27" t="str">
        <f>IF('Data Sheet'!A296="","",'Data Sheet'!A296)</f>
        <v/>
      </c>
      <c r="B296" s="28" t="str">
        <f>IF('Data Sheet'!B296="","",'Data Sheet'!B296)</f>
        <v/>
      </c>
      <c r="C296" s="28" t="str">
        <f>IF('Data Sheet'!C296="","",'Data Sheet'!C296)</f>
        <v/>
      </c>
      <c r="D296" s="28" t="str">
        <f>IF('Data Sheet'!D296="","",'Data Sheet'!D296)</f>
        <v/>
      </c>
      <c r="E296" s="29" t="str">
        <f t="shared" si="57"/>
        <v>C</v>
      </c>
      <c r="F296" s="51">
        <v>0</v>
      </c>
      <c r="G296" s="49">
        <f t="shared" si="58"/>
        <v>0</v>
      </c>
      <c r="H296" s="49">
        <f t="shared" si="59"/>
        <v>0</v>
      </c>
      <c r="I296" s="49">
        <f t="shared" si="60"/>
        <v>0</v>
      </c>
      <c r="J296" s="49">
        <f t="shared" si="61"/>
        <v>0</v>
      </c>
      <c r="K296" s="49">
        <f t="shared" si="62"/>
        <v>0</v>
      </c>
      <c r="L296" s="49">
        <f t="shared" si="63"/>
        <v>0</v>
      </c>
      <c r="M296" s="49">
        <f t="shared" si="64"/>
        <v>0</v>
      </c>
      <c r="N296" s="29" t="str">
        <f t="shared" si="54"/>
        <v/>
      </c>
      <c r="O296" s="29">
        <f t="shared" si="55"/>
        <v>0</v>
      </c>
      <c r="P296" s="29">
        <f t="shared" si="56"/>
        <v>0</v>
      </c>
      <c r="Q296" s="29">
        <f>IF(A296&lt;&gt;"",SUM(F$2:F296),Q295)</f>
        <v>8</v>
      </c>
      <c r="R296" s="30">
        <f t="shared" si="65"/>
        <v>0</v>
      </c>
    </row>
    <row r="297" spans="1:18" x14ac:dyDescent="0.25">
      <c r="A297" s="27" t="str">
        <f>IF('Data Sheet'!A297="","",'Data Sheet'!A297)</f>
        <v/>
      </c>
      <c r="B297" s="28" t="str">
        <f>IF('Data Sheet'!B297="","",'Data Sheet'!B297)</f>
        <v/>
      </c>
      <c r="C297" s="28" t="str">
        <f>IF('Data Sheet'!C297="","",'Data Sheet'!C297)</f>
        <v/>
      </c>
      <c r="D297" s="28" t="str">
        <f>IF('Data Sheet'!D297="","",'Data Sheet'!D297)</f>
        <v/>
      </c>
      <c r="E297" s="29" t="str">
        <f t="shared" si="57"/>
        <v>C</v>
      </c>
      <c r="F297" s="51">
        <v>0</v>
      </c>
      <c r="G297" s="49">
        <f t="shared" si="58"/>
        <v>0</v>
      </c>
      <c r="H297" s="49">
        <f t="shared" si="59"/>
        <v>0</v>
      </c>
      <c r="I297" s="49">
        <f t="shared" si="60"/>
        <v>0</v>
      </c>
      <c r="J297" s="49">
        <f t="shared" si="61"/>
        <v>0</v>
      </c>
      <c r="K297" s="49">
        <f t="shared" si="62"/>
        <v>0</v>
      </c>
      <c r="L297" s="49">
        <f t="shared" si="63"/>
        <v>0</v>
      </c>
      <c r="M297" s="49">
        <f t="shared" si="64"/>
        <v>0</v>
      </c>
      <c r="N297" s="29" t="str">
        <f t="shared" si="54"/>
        <v/>
      </c>
      <c r="O297" s="29">
        <f t="shared" si="55"/>
        <v>0</v>
      </c>
      <c r="P297" s="29">
        <f t="shared" si="56"/>
        <v>0</v>
      </c>
      <c r="Q297" s="29">
        <f>IF(A297&lt;&gt;"",SUM(F$2:F297),Q296)</f>
        <v>8</v>
      </c>
      <c r="R297" s="30">
        <f t="shared" si="65"/>
        <v>0</v>
      </c>
    </row>
    <row r="298" spans="1:18" x14ac:dyDescent="0.25">
      <c r="A298" s="27" t="str">
        <f>IF('Data Sheet'!A298="","",'Data Sheet'!A298)</f>
        <v/>
      </c>
      <c r="B298" s="28" t="str">
        <f>IF('Data Sheet'!B298="","",'Data Sheet'!B298)</f>
        <v/>
      </c>
      <c r="C298" s="28" t="str">
        <f>IF('Data Sheet'!C298="","",'Data Sheet'!C298)</f>
        <v/>
      </c>
      <c r="D298" s="28" t="str">
        <f>IF('Data Sheet'!D298="","",'Data Sheet'!D298)</f>
        <v/>
      </c>
      <c r="E298" s="29" t="str">
        <f t="shared" si="57"/>
        <v>C</v>
      </c>
      <c r="F298" s="51">
        <v>0</v>
      </c>
      <c r="G298" s="49">
        <f t="shared" si="58"/>
        <v>0</v>
      </c>
      <c r="H298" s="49">
        <f t="shared" si="59"/>
        <v>0</v>
      </c>
      <c r="I298" s="49">
        <f t="shared" si="60"/>
        <v>0</v>
      </c>
      <c r="J298" s="49">
        <f t="shared" si="61"/>
        <v>0</v>
      </c>
      <c r="K298" s="49">
        <f t="shared" si="62"/>
        <v>0</v>
      </c>
      <c r="L298" s="49">
        <f t="shared" si="63"/>
        <v>0</v>
      </c>
      <c r="M298" s="49">
        <f t="shared" si="64"/>
        <v>0</v>
      </c>
      <c r="N298" s="29" t="str">
        <f t="shared" si="54"/>
        <v/>
      </c>
      <c r="O298" s="29">
        <f t="shared" si="55"/>
        <v>0</v>
      </c>
      <c r="P298" s="29">
        <f t="shared" si="56"/>
        <v>0</v>
      </c>
      <c r="Q298" s="29">
        <f>IF(A298&lt;&gt;"",SUM(F$2:F298),Q297)</f>
        <v>8</v>
      </c>
      <c r="R298" s="30">
        <f t="shared" si="65"/>
        <v>0</v>
      </c>
    </row>
    <row r="299" spans="1:18" x14ac:dyDescent="0.25">
      <c r="A299" s="27" t="str">
        <f>IF('Data Sheet'!A299="","",'Data Sheet'!A299)</f>
        <v/>
      </c>
      <c r="B299" s="28" t="str">
        <f>IF('Data Sheet'!B299="","",'Data Sheet'!B299)</f>
        <v/>
      </c>
      <c r="C299" s="28" t="str">
        <f>IF('Data Sheet'!C299="","",'Data Sheet'!C299)</f>
        <v/>
      </c>
      <c r="D299" s="28" t="str">
        <f>IF('Data Sheet'!D299="","",'Data Sheet'!D299)</f>
        <v/>
      </c>
      <c r="E299" s="29" t="str">
        <f t="shared" si="57"/>
        <v>C</v>
      </c>
      <c r="F299" s="51">
        <v>0</v>
      </c>
      <c r="G299" s="49">
        <f t="shared" si="58"/>
        <v>0</v>
      </c>
      <c r="H299" s="49">
        <f t="shared" si="59"/>
        <v>0</v>
      </c>
      <c r="I299" s="49">
        <f t="shared" si="60"/>
        <v>0</v>
      </c>
      <c r="J299" s="49">
        <f t="shared" si="61"/>
        <v>0</v>
      </c>
      <c r="K299" s="49">
        <f t="shared" si="62"/>
        <v>0</v>
      </c>
      <c r="L299" s="49">
        <f t="shared" si="63"/>
        <v>0</v>
      </c>
      <c r="M299" s="49">
        <f t="shared" si="64"/>
        <v>0</v>
      </c>
      <c r="N299" s="29" t="str">
        <f t="shared" si="54"/>
        <v/>
      </c>
      <c r="O299" s="29">
        <f t="shared" si="55"/>
        <v>0</v>
      </c>
      <c r="P299" s="29">
        <f t="shared" si="56"/>
        <v>0</v>
      </c>
      <c r="Q299" s="29">
        <f>IF(A299&lt;&gt;"",SUM(F$2:F299),Q298)</f>
        <v>8</v>
      </c>
      <c r="R299" s="30">
        <f t="shared" si="65"/>
        <v>0</v>
      </c>
    </row>
    <row r="300" spans="1:18" x14ac:dyDescent="0.25">
      <c r="A300" s="27" t="str">
        <f>IF('Data Sheet'!A300="","",'Data Sheet'!A300)</f>
        <v/>
      </c>
      <c r="B300" s="28" t="str">
        <f>IF('Data Sheet'!B300="","",'Data Sheet'!B300)</f>
        <v/>
      </c>
      <c r="C300" s="28" t="str">
        <f>IF('Data Sheet'!C300="","",'Data Sheet'!C300)</f>
        <v/>
      </c>
      <c r="D300" s="28" t="str">
        <f>IF('Data Sheet'!D300="","",'Data Sheet'!D300)</f>
        <v/>
      </c>
      <c r="E300" s="29" t="str">
        <f t="shared" si="57"/>
        <v>C</v>
      </c>
      <c r="F300" s="51">
        <v>0</v>
      </c>
      <c r="G300" s="49">
        <f t="shared" si="58"/>
        <v>0</v>
      </c>
      <c r="H300" s="49">
        <f t="shared" si="59"/>
        <v>0</v>
      </c>
      <c r="I300" s="49">
        <f t="shared" si="60"/>
        <v>0</v>
      </c>
      <c r="J300" s="49">
        <f t="shared" si="61"/>
        <v>0</v>
      </c>
      <c r="K300" s="49">
        <f t="shared" si="62"/>
        <v>0</v>
      </c>
      <c r="L300" s="49">
        <f t="shared" si="63"/>
        <v>0</v>
      </c>
      <c r="M300" s="49">
        <f t="shared" si="64"/>
        <v>0</v>
      </c>
      <c r="N300" s="29" t="str">
        <f t="shared" si="54"/>
        <v/>
      </c>
      <c r="O300" s="29">
        <f t="shared" si="55"/>
        <v>0</v>
      </c>
      <c r="P300" s="29">
        <f t="shared" si="56"/>
        <v>0</v>
      </c>
      <c r="Q300" s="29">
        <f>IF(A300&lt;&gt;"",SUM(F$2:F300),Q299)</f>
        <v>8</v>
      </c>
      <c r="R300" s="30">
        <f t="shared" si="65"/>
        <v>0</v>
      </c>
    </row>
    <row r="301" spans="1:18" x14ac:dyDescent="0.25">
      <c r="A301" s="27" t="str">
        <f>IF('Data Sheet'!A301="","",'Data Sheet'!A301)</f>
        <v/>
      </c>
      <c r="B301" s="28" t="str">
        <f>IF('Data Sheet'!B301="","",'Data Sheet'!B301)</f>
        <v/>
      </c>
      <c r="C301" s="28" t="str">
        <f>IF('Data Sheet'!C301="","",'Data Sheet'!C301)</f>
        <v/>
      </c>
      <c r="D301" s="28" t="str">
        <f>IF('Data Sheet'!D301="","",'Data Sheet'!D301)</f>
        <v/>
      </c>
      <c r="E301" s="29" t="str">
        <f t="shared" si="57"/>
        <v>C</v>
      </c>
      <c r="F301" s="51">
        <v>0</v>
      </c>
      <c r="G301" s="49">
        <f t="shared" si="58"/>
        <v>0</v>
      </c>
      <c r="H301" s="49">
        <f t="shared" si="59"/>
        <v>0</v>
      </c>
      <c r="I301" s="49">
        <f t="shared" si="60"/>
        <v>0</v>
      </c>
      <c r="J301" s="49">
        <f t="shared" si="61"/>
        <v>0</v>
      </c>
      <c r="K301" s="49">
        <f t="shared" si="62"/>
        <v>0</v>
      </c>
      <c r="L301" s="49">
        <f t="shared" si="63"/>
        <v>0</v>
      </c>
      <c r="M301" s="49">
        <f t="shared" si="64"/>
        <v>0</v>
      </c>
      <c r="N301" s="29" t="str">
        <f t="shared" si="54"/>
        <v/>
      </c>
      <c r="O301" s="29">
        <f t="shared" si="55"/>
        <v>0</v>
      </c>
      <c r="P301" s="29">
        <f t="shared" si="56"/>
        <v>0</v>
      </c>
      <c r="Q301" s="29">
        <f>IF(A301&lt;&gt;"",SUM(F$2:F301),Q300)</f>
        <v>8</v>
      </c>
      <c r="R301" s="30">
        <f t="shared" si="65"/>
        <v>0</v>
      </c>
    </row>
    <row r="302" spans="1:18" x14ac:dyDescent="0.25">
      <c r="A302" s="27" t="str">
        <f>IF('Data Sheet'!A302="","",'Data Sheet'!A302)</f>
        <v/>
      </c>
      <c r="B302" s="28" t="str">
        <f>IF('Data Sheet'!B302="","",'Data Sheet'!B302)</f>
        <v/>
      </c>
      <c r="C302" s="28" t="str">
        <f>IF('Data Sheet'!C302="","",'Data Sheet'!C302)</f>
        <v/>
      </c>
      <c r="D302" s="28" t="str">
        <f>IF('Data Sheet'!D302="","",'Data Sheet'!D302)</f>
        <v/>
      </c>
      <c r="E302" s="29" t="str">
        <f t="shared" si="57"/>
        <v>C</v>
      </c>
      <c r="F302" s="51">
        <v>0</v>
      </c>
      <c r="G302" s="49">
        <f t="shared" si="58"/>
        <v>0</v>
      </c>
      <c r="H302" s="49">
        <f t="shared" si="59"/>
        <v>0</v>
      </c>
      <c r="I302" s="49">
        <f t="shared" si="60"/>
        <v>0</v>
      </c>
      <c r="J302" s="49">
        <f t="shared" si="61"/>
        <v>0</v>
      </c>
      <c r="K302" s="49">
        <f t="shared" si="62"/>
        <v>0</v>
      </c>
      <c r="L302" s="49">
        <f t="shared" si="63"/>
        <v>0</v>
      </c>
      <c r="M302" s="49">
        <f t="shared" si="64"/>
        <v>0</v>
      </c>
      <c r="N302" s="29" t="str">
        <f t="shared" si="54"/>
        <v/>
      </c>
      <c r="O302" s="29">
        <f t="shared" si="55"/>
        <v>0</v>
      </c>
      <c r="P302" s="29">
        <f t="shared" si="56"/>
        <v>0</v>
      </c>
      <c r="Q302" s="29">
        <f>IF(A302&lt;&gt;"",SUM(F$2:F302),Q301)</f>
        <v>8</v>
      </c>
      <c r="R302" s="30">
        <f t="shared" si="65"/>
        <v>0</v>
      </c>
    </row>
    <row r="303" spans="1:18" x14ac:dyDescent="0.25">
      <c r="A303" s="27" t="str">
        <f>IF('Data Sheet'!A303="","",'Data Sheet'!A303)</f>
        <v/>
      </c>
      <c r="B303" s="28" t="str">
        <f>IF('Data Sheet'!B303="","",'Data Sheet'!B303)</f>
        <v/>
      </c>
      <c r="C303" s="28" t="str">
        <f>IF('Data Sheet'!C303="","",'Data Sheet'!C303)</f>
        <v/>
      </c>
      <c r="D303" s="28" t="str">
        <f>IF('Data Sheet'!D303="","",'Data Sheet'!D303)</f>
        <v/>
      </c>
      <c r="E303" s="29" t="str">
        <f t="shared" si="57"/>
        <v>C</v>
      </c>
      <c r="F303" s="51">
        <v>0</v>
      </c>
      <c r="G303" s="49">
        <f t="shared" si="58"/>
        <v>0</v>
      </c>
      <c r="H303" s="49">
        <f t="shared" si="59"/>
        <v>0</v>
      </c>
      <c r="I303" s="49">
        <f t="shared" si="60"/>
        <v>0</v>
      </c>
      <c r="J303" s="49">
        <f t="shared" si="61"/>
        <v>0</v>
      </c>
      <c r="K303" s="49">
        <f t="shared" si="62"/>
        <v>0</v>
      </c>
      <c r="L303" s="49">
        <f t="shared" si="63"/>
        <v>0</v>
      </c>
      <c r="M303" s="49">
        <f t="shared" si="64"/>
        <v>0</v>
      </c>
      <c r="N303" s="29" t="str">
        <f t="shared" si="54"/>
        <v/>
      </c>
      <c r="O303" s="29">
        <f t="shared" si="55"/>
        <v>0</v>
      </c>
      <c r="P303" s="29">
        <f t="shared" si="56"/>
        <v>0</v>
      </c>
      <c r="Q303" s="29">
        <f>IF(A303&lt;&gt;"",SUM(F$2:F303),Q302)</f>
        <v>8</v>
      </c>
      <c r="R303" s="30">
        <f t="shared" si="65"/>
        <v>0</v>
      </c>
    </row>
    <row r="304" spans="1:18" x14ac:dyDescent="0.25">
      <c r="A304" s="27" t="str">
        <f>IF('Data Sheet'!A304="","",'Data Sheet'!A304)</f>
        <v/>
      </c>
      <c r="B304" s="28" t="str">
        <f>IF('Data Sheet'!B304="","",'Data Sheet'!B304)</f>
        <v/>
      </c>
      <c r="C304" s="28" t="str">
        <f>IF('Data Sheet'!C304="","",'Data Sheet'!C304)</f>
        <v/>
      </c>
      <c r="D304" s="28" t="str">
        <f>IF('Data Sheet'!D304="","",'Data Sheet'!D304)</f>
        <v/>
      </c>
      <c r="E304" s="29" t="str">
        <f t="shared" si="57"/>
        <v>C</v>
      </c>
      <c r="F304" s="51">
        <v>0</v>
      </c>
      <c r="G304" s="49">
        <f t="shared" si="58"/>
        <v>0</v>
      </c>
      <c r="H304" s="49">
        <f t="shared" si="59"/>
        <v>0</v>
      </c>
      <c r="I304" s="49">
        <f t="shared" si="60"/>
        <v>0</v>
      </c>
      <c r="J304" s="49">
        <f t="shared" si="61"/>
        <v>0</v>
      </c>
      <c r="K304" s="49">
        <f t="shared" si="62"/>
        <v>0</v>
      </c>
      <c r="L304" s="49">
        <f t="shared" si="63"/>
        <v>0</v>
      </c>
      <c r="M304" s="49">
        <f t="shared" si="64"/>
        <v>0</v>
      </c>
      <c r="N304" s="29" t="str">
        <f t="shared" si="54"/>
        <v/>
      </c>
      <c r="O304" s="29">
        <f t="shared" si="55"/>
        <v>0</v>
      </c>
      <c r="P304" s="29">
        <f t="shared" si="56"/>
        <v>0</v>
      </c>
      <c r="Q304" s="29">
        <f>IF(A304&lt;&gt;"",SUM(F$2:F304),Q303)</f>
        <v>8</v>
      </c>
      <c r="R304" s="30">
        <f t="shared" si="65"/>
        <v>0</v>
      </c>
    </row>
    <row r="305" spans="1:18" x14ac:dyDescent="0.25">
      <c r="A305" s="27" t="str">
        <f>IF('Data Sheet'!A305="","",'Data Sheet'!A305)</f>
        <v/>
      </c>
      <c r="B305" s="28" t="str">
        <f>IF('Data Sheet'!B305="","",'Data Sheet'!B305)</f>
        <v/>
      </c>
      <c r="C305" s="28" t="str">
        <f>IF('Data Sheet'!C305="","",'Data Sheet'!C305)</f>
        <v/>
      </c>
      <c r="D305" s="28" t="str">
        <f>IF('Data Sheet'!D305="","",'Data Sheet'!D305)</f>
        <v/>
      </c>
      <c r="E305" s="29" t="str">
        <f t="shared" si="57"/>
        <v>C</v>
      </c>
      <c r="F305" s="51">
        <v>0</v>
      </c>
      <c r="G305" s="49">
        <f t="shared" si="58"/>
        <v>0</v>
      </c>
      <c r="H305" s="49">
        <f t="shared" si="59"/>
        <v>0</v>
      </c>
      <c r="I305" s="49">
        <f t="shared" si="60"/>
        <v>0</v>
      </c>
      <c r="J305" s="49">
        <f t="shared" si="61"/>
        <v>0</v>
      </c>
      <c r="K305" s="49">
        <f t="shared" si="62"/>
        <v>0</v>
      </c>
      <c r="L305" s="49">
        <f t="shared" si="63"/>
        <v>0</v>
      </c>
      <c r="M305" s="49">
        <f t="shared" si="64"/>
        <v>0</v>
      </c>
      <c r="N305" s="29" t="str">
        <f t="shared" si="54"/>
        <v/>
      </c>
      <c r="O305" s="29">
        <f t="shared" si="55"/>
        <v>0</v>
      </c>
      <c r="P305" s="29">
        <f t="shared" si="56"/>
        <v>0</v>
      </c>
      <c r="Q305" s="29">
        <f>IF(A305&lt;&gt;"",SUM(F$2:F305),Q304)</f>
        <v>8</v>
      </c>
      <c r="R305" s="30">
        <f t="shared" si="65"/>
        <v>0</v>
      </c>
    </row>
    <row r="306" spans="1:18" x14ac:dyDescent="0.25">
      <c r="A306" s="27" t="str">
        <f>IF('Data Sheet'!A306="","",'Data Sheet'!A306)</f>
        <v/>
      </c>
      <c r="B306" s="28" t="str">
        <f>IF('Data Sheet'!B306="","",'Data Sheet'!B306)</f>
        <v/>
      </c>
      <c r="C306" s="28" t="str">
        <f>IF('Data Sheet'!C306="","",'Data Sheet'!C306)</f>
        <v/>
      </c>
      <c r="D306" s="28" t="str">
        <f>IF('Data Sheet'!D306="","",'Data Sheet'!D306)</f>
        <v/>
      </c>
      <c r="E306" s="29" t="str">
        <f t="shared" si="57"/>
        <v>C</v>
      </c>
      <c r="F306" s="51">
        <v>0</v>
      </c>
      <c r="G306" s="49">
        <f t="shared" si="58"/>
        <v>0</v>
      </c>
      <c r="H306" s="49">
        <f t="shared" si="59"/>
        <v>0</v>
      </c>
      <c r="I306" s="49">
        <f t="shared" si="60"/>
        <v>0</v>
      </c>
      <c r="J306" s="49">
        <f t="shared" si="61"/>
        <v>0</v>
      </c>
      <c r="K306" s="49">
        <f t="shared" si="62"/>
        <v>0</v>
      </c>
      <c r="L306" s="49">
        <f t="shared" si="63"/>
        <v>0</v>
      </c>
      <c r="M306" s="49">
        <f t="shared" si="64"/>
        <v>0</v>
      </c>
      <c r="N306" s="29" t="str">
        <f t="shared" si="54"/>
        <v/>
      </c>
      <c r="O306" s="29">
        <f t="shared" si="55"/>
        <v>0</v>
      </c>
      <c r="P306" s="29">
        <f t="shared" si="56"/>
        <v>0</v>
      </c>
      <c r="Q306" s="29">
        <f>IF(A306&lt;&gt;"",SUM(F$2:F306),Q305)</f>
        <v>8</v>
      </c>
      <c r="R306" s="30">
        <f t="shared" si="65"/>
        <v>0</v>
      </c>
    </row>
    <row r="307" spans="1:18" x14ac:dyDescent="0.25">
      <c r="A307" s="27" t="str">
        <f>IF('Data Sheet'!A307="","",'Data Sheet'!A307)</f>
        <v/>
      </c>
      <c r="B307" s="28" t="str">
        <f>IF('Data Sheet'!B307="","",'Data Sheet'!B307)</f>
        <v/>
      </c>
      <c r="C307" s="28" t="str">
        <f>IF('Data Sheet'!C307="","",'Data Sheet'!C307)</f>
        <v/>
      </c>
      <c r="D307" s="28" t="str">
        <f>IF('Data Sheet'!D307="","",'Data Sheet'!D307)</f>
        <v/>
      </c>
      <c r="E307" s="29" t="str">
        <f t="shared" si="57"/>
        <v>C</v>
      </c>
      <c r="F307" s="51">
        <v>0</v>
      </c>
      <c r="G307" s="49">
        <f t="shared" si="58"/>
        <v>0</v>
      </c>
      <c r="H307" s="49">
        <f t="shared" si="59"/>
        <v>0</v>
      </c>
      <c r="I307" s="49">
        <f t="shared" si="60"/>
        <v>0</v>
      </c>
      <c r="J307" s="49">
        <f t="shared" si="61"/>
        <v>0</v>
      </c>
      <c r="K307" s="49">
        <f t="shared" si="62"/>
        <v>0</v>
      </c>
      <c r="L307" s="49">
        <f t="shared" si="63"/>
        <v>0</v>
      </c>
      <c r="M307" s="49">
        <f t="shared" si="64"/>
        <v>0</v>
      </c>
      <c r="N307" s="29" t="str">
        <f t="shared" si="54"/>
        <v/>
      </c>
      <c r="O307" s="29">
        <f t="shared" si="55"/>
        <v>0</v>
      </c>
      <c r="P307" s="29">
        <f t="shared" si="56"/>
        <v>0</v>
      </c>
      <c r="Q307" s="29">
        <f>IF(A307&lt;&gt;"",SUM(F$2:F307),Q306)</f>
        <v>8</v>
      </c>
      <c r="R307" s="30">
        <f t="shared" si="65"/>
        <v>0</v>
      </c>
    </row>
    <row r="308" spans="1:18" x14ac:dyDescent="0.25">
      <c r="A308" s="27" t="str">
        <f>IF('Data Sheet'!A308="","",'Data Sheet'!A308)</f>
        <v/>
      </c>
      <c r="B308" s="28" t="str">
        <f>IF('Data Sheet'!B308="","",'Data Sheet'!B308)</f>
        <v/>
      </c>
      <c r="C308" s="28" t="str">
        <f>IF('Data Sheet'!C308="","",'Data Sheet'!C308)</f>
        <v/>
      </c>
      <c r="D308" s="28" t="str">
        <f>IF('Data Sheet'!D308="","",'Data Sheet'!D308)</f>
        <v/>
      </c>
      <c r="E308" s="29" t="str">
        <f t="shared" si="57"/>
        <v>C</v>
      </c>
      <c r="F308" s="51">
        <v>0</v>
      </c>
      <c r="G308" s="49">
        <f t="shared" si="58"/>
        <v>0</v>
      </c>
      <c r="H308" s="49">
        <f t="shared" si="59"/>
        <v>0</v>
      </c>
      <c r="I308" s="49">
        <f t="shared" si="60"/>
        <v>0</v>
      </c>
      <c r="J308" s="49">
        <f t="shared" si="61"/>
        <v>0</v>
      </c>
      <c r="K308" s="49">
        <f t="shared" si="62"/>
        <v>0</v>
      </c>
      <c r="L308" s="49">
        <f t="shared" si="63"/>
        <v>0</v>
      </c>
      <c r="M308" s="49">
        <f t="shared" si="64"/>
        <v>0</v>
      </c>
      <c r="N308" s="29" t="str">
        <f t="shared" si="54"/>
        <v/>
      </c>
      <c r="O308" s="29">
        <f t="shared" si="55"/>
        <v>0</v>
      </c>
      <c r="P308" s="29">
        <f t="shared" si="56"/>
        <v>0</v>
      </c>
      <c r="Q308" s="29">
        <f>IF(A308&lt;&gt;"",SUM(F$2:F308),Q307)</f>
        <v>8</v>
      </c>
      <c r="R308" s="30">
        <f t="shared" si="65"/>
        <v>0</v>
      </c>
    </row>
    <row r="309" spans="1:18" x14ac:dyDescent="0.25">
      <c r="A309" s="27" t="str">
        <f>IF('Data Sheet'!A309="","",'Data Sheet'!A309)</f>
        <v/>
      </c>
      <c r="B309" s="28" t="str">
        <f>IF('Data Sheet'!B309="","",'Data Sheet'!B309)</f>
        <v/>
      </c>
      <c r="C309" s="28" t="str">
        <f>IF('Data Sheet'!C309="","",'Data Sheet'!C309)</f>
        <v/>
      </c>
      <c r="D309" s="28" t="str">
        <f>IF('Data Sheet'!D309="","",'Data Sheet'!D309)</f>
        <v/>
      </c>
      <c r="E309" s="29" t="str">
        <f t="shared" si="57"/>
        <v>C</v>
      </c>
      <c r="F309" s="51">
        <v>0</v>
      </c>
      <c r="G309" s="49">
        <f t="shared" si="58"/>
        <v>0</v>
      </c>
      <c r="H309" s="49">
        <f t="shared" si="59"/>
        <v>0</v>
      </c>
      <c r="I309" s="49">
        <f t="shared" si="60"/>
        <v>0</v>
      </c>
      <c r="J309" s="49">
        <f t="shared" si="61"/>
        <v>0</v>
      </c>
      <c r="K309" s="49">
        <f t="shared" si="62"/>
        <v>0</v>
      </c>
      <c r="L309" s="49">
        <f t="shared" si="63"/>
        <v>0</v>
      </c>
      <c r="M309" s="49">
        <f t="shared" si="64"/>
        <v>0</v>
      </c>
      <c r="N309" s="29" t="str">
        <f t="shared" si="54"/>
        <v/>
      </c>
      <c r="O309" s="29">
        <f t="shared" si="55"/>
        <v>0</v>
      </c>
      <c r="P309" s="29">
        <f t="shared" si="56"/>
        <v>0</v>
      </c>
      <c r="Q309" s="29">
        <f>IF(A309&lt;&gt;"",SUM(F$2:F309),Q308)</f>
        <v>8</v>
      </c>
      <c r="R309" s="30">
        <f t="shared" si="65"/>
        <v>0</v>
      </c>
    </row>
    <row r="310" spans="1:18" x14ac:dyDescent="0.25">
      <c r="A310" s="27" t="str">
        <f>IF('Data Sheet'!A310="","",'Data Sheet'!A310)</f>
        <v/>
      </c>
      <c r="B310" s="28" t="str">
        <f>IF('Data Sheet'!B310="","",'Data Sheet'!B310)</f>
        <v/>
      </c>
      <c r="C310" s="28" t="str">
        <f>IF('Data Sheet'!C310="","",'Data Sheet'!C310)</f>
        <v/>
      </c>
      <c r="D310" s="28" t="str">
        <f>IF('Data Sheet'!D310="","",'Data Sheet'!D310)</f>
        <v/>
      </c>
      <c r="E310" s="29" t="str">
        <f t="shared" si="57"/>
        <v>C</v>
      </c>
      <c r="F310" s="51">
        <v>0</v>
      </c>
      <c r="G310" s="49">
        <f t="shared" si="58"/>
        <v>0</v>
      </c>
      <c r="H310" s="49">
        <f t="shared" si="59"/>
        <v>0</v>
      </c>
      <c r="I310" s="49">
        <f t="shared" si="60"/>
        <v>0</v>
      </c>
      <c r="J310" s="49">
        <f t="shared" si="61"/>
        <v>0</v>
      </c>
      <c r="K310" s="49">
        <f t="shared" si="62"/>
        <v>0</v>
      </c>
      <c r="L310" s="49">
        <f t="shared" si="63"/>
        <v>0</v>
      </c>
      <c r="M310" s="49">
        <f t="shared" si="64"/>
        <v>0</v>
      </c>
      <c r="N310" s="29" t="str">
        <f t="shared" si="54"/>
        <v/>
      </c>
      <c r="O310" s="29">
        <f t="shared" si="55"/>
        <v>0</v>
      </c>
      <c r="P310" s="29">
        <f t="shared" si="56"/>
        <v>0</v>
      </c>
      <c r="Q310" s="29">
        <f>IF(A310&lt;&gt;"",SUM(F$2:F310),Q309)</f>
        <v>8</v>
      </c>
      <c r="R310" s="30">
        <f t="shared" si="65"/>
        <v>0</v>
      </c>
    </row>
    <row r="311" spans="1:18" x14ac:dyDescent="0.25">
      <c r="A311" s="27" t="str">
        <f>IF('Data Sheet'!A311="","",'Data Sheet'!A311)</f>
        <v/>
      </c>
      <c r="B311" s="28" t="str">
        <f>IF('Data Sheet'!B311="","",'Data Sheet'!B311)</f>
        <v/>
      </c>
      <c r="C311" s="28" t="str">
        <f>IF('Data Sheet'!C311="","",'Data Sheet'!C311)</f>
        <v/>
      </c>
      <c r="D311" s="28" t="str">
        <f>IF('Data Sheet'!D311="","",'Data Sheet'!D311)</f>
        <v/>
      </c>
      <c r="E311" s="29" t="str">
        <f t="shared" si="57"/>
        <v>C</v>
      </c>
      <c r="F311" s="51">
        <v>0</v>
      </c>
      <c r="G311" s="49">
        <f t="shared" si="58"/>
        <v>0</v>
      </c>
      <c r="H311" s="49">
        <f t="shared" si="59"/>
        <v>0</v>
      </c>
      <c r="I311" s="49">
        <f t="shared" si="60"/>
        <v>0</v>
      </c>
      <c r="J311" s="49">
        <f t="shared" si="61"/>
        <v>0</v>
      </c>
      <c r="K311" s="49">
        <f t="shared" si="62"/>
        <v>0</v>
      </c>
      <c r="L311" s="49">
        <f t="shared" si="63"/>
        <v>0</v>
      </c>
      <c r="M311" s="49">
        <f t="shared" si="64"/>
        <v>0</v>
      </c>
      <c r="N311" s="29" t="str">
        <f t="shared" si="54"/>
        <v/>
      </c>
      <c r="O311" s="29">
        <f t="shared" si="55"/>
        <v>0</v>
      </c>
      <c r="P311" s="29">
        <f t="shared" si="56"/>
        <v>0</v>
      </c>
      <c r="Q311" s="29">
        <f>IF(A311&lt;&gt;"",SUM(F$2:F311),Q310)</f>
        <v>8</v>
      </c>
      <c r="R311" s="30">
        <f t="shared" si="65"/>
        <v>0</v>
      </c>
    </row>
    <row r="312" spans="1:18" x14ac:dyDescent="0.25">
      <c r="A312" s="27" t="str">
        <f>IF('Data Sheet'!A312="","",'Data Sheet'!A312)</f>
        <v/>
      </c>
      <c r="B312" s="28" t="str">
        <f>IF('Data Sheet'!B312="","",'Data Sheet'!B312)</f>
        <v/>
      </c>
      <c r="C312" s="28" t="str">
        <f>IF('Data Sheet'!C312="","",'Data Sheet'!C312)</f>
        <v/>
      </c>
      <c r="D312" s="28" t="str">
        <f>IF('Data Sheet'!D312="","",'Data Sheet'!D312)</f>
        <v/>
      </c>
      <c r="E312" s="29" t="str">
        <f t="shared" si="57"/>
        <v>C</v>
      </c>
      <c r="F312" s="51">
        <v>0</v>
      </c>
      <c r="G312" s="49">
        <f t="shared" si="58"/>
        <v>0</v>
      </c>
      <c r="H312" s="49">
        <f t="shared" si="59"/>
        <v>0</v>
      </c>
      <c r="I312" s="49">
        <f t="shared" si="60"/>
        <v>0</v>
      </c>
      <c r="J312" s="49">
        <f t="shared" si="61"/>
        <v>0</v>
      </c>
      <c r="K312" s="49">
        <f t="shared" si="62"/>
        <v>0</v>
      </c>
      <c r="L312" s="49">
        <f t="shared" si="63"/>
        <v>0</v>
      </c>
      <c r="M312" s="49">
        <f t="shared" si="64"/>
        <v>0</v>
      </c>
      <c r="N312" s="29" t="str">
        <f t="shared" si="54"/>
        <v/>
      </c>
      <c r="O312" s="29">
        <f t="shared" si="55"/>
        <v>0</v>
      </c>
      <c r="P312" s="29">
        <f t="shared" si="56"/>
        <v>0</v>
      </c>
      <c r="Q312" s="29">
        <f>IF(A312&lt;&gt;"",SUM(F$2:F312),Q311)</f>
        <v>8</v>
      </c>
      <c r="R312" s="30">
        <f t="shared" si="65"/>
        <v>0</v>
      </c>
    </row>
    <row r="313" spans="1:18" x14ac:dyDescent="0.25">
      <c r="A313" s="27" t="str">
        <f>IF('Data Sheet'!A313="","",'Data Sheet'!A313)</f>
        <v/>
      </c>
      <c r="B313" s="28" t="str">
        <f>IF('Data Sheet'!B313="","",'Data Sheet'!B313)</f>
        <v/>
      </c>
      <c r="C313" s="28" t="str">
        <f>IF('Data Sheet'!C313="","",'Data Sheet'!C313)</f>
        <v/>
      </c>
      <c r="D313" s="28" t="str">
        <f>IF('Data Sheet'!D313="","",'Data Sheet'!D313)</f>
        <v/>
      </c>
      <c r="E313" s="29" t="str">
        <f t="shared" si="57"/>
        <v>C</v>
      </c>
      <c r="F313" s="51">
        <v>0</v>
      </c>
      <c r="G313" s="49">
        <f t="shared" si="58"/>
        <v>0</v>
      </c>
      <c r="H313" s="49">
        <f t="shared" si="59"/>
        <v>0</v>
      </c>
      <c r="I313" s="49">
        <f t="shared" si="60"/>
        <v>0</v>
      </c>
      <c r="J313" s="49">
        <f t="shared" si="61"/>
        <v>0</v>
      </c>
      <c r="K313" s="49">
        <f t="shared" si="62"/>
        <v>0</v>
      </c>
      <c r="L313" s="49">
        <f t="shared" si="63"/>
        <v>0</v>
      </c>
      <c r="M313" s="49">
        <f t="shared" si="64"/>
        <v>0</v>
      </c>
      <c r="N313" s="29" t="str">
        <f t="shared" si="54"/>
        <v/>
      </c>
      <c r="O313" s="29">
        <f t="shared" si="55"/>
        <v>0</v>
      </c>
      <c r="P313" s="29">
        <f t="shared" si="56"/>
        <v>0</v>
      </c>
      <c r="Q313" s="29">
        <f>IF(A313&lt;&gt;"",SUM(F$2:F313),Q312)</f>
        <v>8</v>
      </c>
      <c r="R313" s="30">
        <f t="shared" si="65"/>
        <v>0</v>
      </c>
    </row>
    <row r="314" spans="1:18" x14ac:dyDescent="0.25">
      <c r="A314" s="27" t="str">
        <f>IF('Data Sheet'!A314="","",'Data Sheet'!A314)</f>
        <v/>
      </c>
      <c r="B314" s="28" t="str">
        <f>IF('Data Sheet'!B314="","",'Data Sheet'!B314)</f>
        <v/>
      </c>
      <c r="C314" s="28" t="str">
        <f>IF('Data Sheet'!C314="","",'Data Sheet'!C314)</f>
        <v/>
      </c>
      <c r="D314" s="28" t="str">
        <f>IF('Data Sheet'!D314="","",'Data Sheet'!D314)</f>
        <v/>
      </c>
      <c r="E314" s="29" t="str">
        <f t="shared" si="57"/>
        <v>C</v>
      </c>
      <c r="F314" s="51">
        <v>0</v>
      </c>
      <c r="G314" s="49">
        <f t="shared" si="58"/>
        <v>0</v>
      </c>
      <c r="H314" s="49">
        <f t="shared" si="59"/>
        <v>0</v>
      </c>
      <c r="I314" s="49">
        <f t="shared" si="60"/>
        <v>0</v>
      </c>
      <c r="J314" s="49">
        <f t="shared" si="61"/>
        <v>0</v>
      </c>
      <c r="K314" s="49">
        <f t="shared" si="62"/>
        <v>0</v>
      </c>
      <c r="L314" s="49">
        <f t="shared" si="63"/>
        <v>0</v>
      </c>
      <c r="M314" s="49">
        <f t="shared" si="64"/>
        <v>0</v>
      </c>
      <c r="N314" s="29" t="str">
        <f t="shared" si="54"/>
        <v/>
      </c>
      <c r="O314" s="29">
        <f t="shared" si="55"/>
        <v>0</v>
      </c>
      <c r="P314" s="29">
        <f t="shared" si="56"/>
        <v>0</v>
      </c>
      <c r="Q314" s="29">
        <f>IF(A314&lt;&gt;"",SUM(F$2:F314),Q313)</f>
        <v>8</v>
      </c>
      <c r="R314" s="30">
        <f t="shared" si="65"/>
        <v>0</v>
      </c>
    </row>
    <row r="315" spans="1:18" x14ac:dyDescent="0.25">
      <c r="A315" s="27" t="str">
        <f>IF('Data Sheet'!A315="","",'Data Sheet'!A315)</f>
        <v/>
      </c>
      <c r="B315" s="28" t="str">
        <f>IF('Data Sheet'!B315="","",'Data Sheet'!B315)</f>
        <v/>
      </c>
      <c r="C315" s="28" t="str">
        <f>IF('Data Sheet'!C315="","",'Data Sheet'!C315)</f>
        <v/>
      </c>
      <c r="D315" s="28" t="str">
        <f>IF('Data Sheet'!D315="","",'Data Sheet'!D315)</f>
        <v/>
      </c>
      <c r="E315" s="29" t="str">
        <f t="shared" si="57"/>
        <v>C</v>
      </c>
      <c r="F315" s="51">
        <v>0</v>
      </c>
      <c r="G315" s="49">
        <f t="shared" si="58"/>
        <v>0</v>
      </c>
      <c r="H315" s="49">
        <f t="shared" si="59"/>
        <v>0</v>
      </c>
      <c r="I315" s="49">
        <f t="shared" si="60"/>
        <v>0</v>
      </c>
      <c r="J315" s="49">
        <f t="shared" si="61"/>
        <v>0</v>
      </c>
      <c r="K315" s="49">
        <f t="shared" si="62"/>
        <v>0</v>
      </c>
      <c r="L315" s="49">
        <f t="shared" si="63"/>
        <v>0</v>
      </c>
      <c r="M315" s="49">
        <f t="shared" si="64"/>
        <v>0</v>
      </c>
      <c r="N315" s="29" t="str">
        <f t="shared" si="54"/>
        <v/>
      </c>
      <c r="O315" s="29">
        <f t="shared" si="55"/>
        <v>0</v>
      </c>
      <c r="P315" s="29">
        <f t="shared" si="56"/>
        <v>0</v>
      </c>
      <c r="Q315" s="29">
        <f>IF(A315&lt;&gt;"",SUM(F$2:F315),Q314)</f>
        <v>8</v>
      </c>
      <c r="R315" s="30">
        <f t="shared" si="65"/>
        <v>0</v>
      </c>
    </row>
    <row r="316" spans="1:18" x14ac:dyDescent="0.25">
      <c r="A316" s="27" t="str">
        <f>IF('Data Sheet'!A316="","",'Data Sheet'!A316)</f>
        <v/>
      </c>
      <c r="B316" s="28" t="str">
        <f>IF('Data Sheet'!B316="","",'Data Sheet'!B316)</f>
        <v/>
      </c>
      <c r="C316" s="28" t="str">
        <f>IF('Data Sheet'!C316="","",'Data Sheet'!C316)</f>
        <v/>
      </c>
      <c r="D316" s="28" t="str">
        <f>IF('Data Sheet'!D316="","",'Data Sheet'!D316)</f>
        <v/>
      </c>
      <c r="E316" s="29" t="str">
        <f t="shared" si="57"/>
        <v>C</v>
      </c>
      <c r="F316" s="51">
        <v>0</v>
      </c>
      <c r="G316" s="49">
        <f t="shared" si="58"/>
        <v>0</v>
      </c>
      <c r="H316" s="49">
        <f t="shared" si="59"/>
        <v>0</v>
      </c>
      <c r="I316" s="49">
        <f t="shared" si="60"/>
        <v>0</v>
      </c>
      <c r="J316" s="49">
        <f t="shared" si="61"/>
        <v>0</v>
      </c>
      <c r="K316" s="49">
        <f t="shared" si="62"/>
        <v>0</v>
      </c>
      <c r="L316" s="49">
        <f t="shared" si="63"/>
        <v>0</v>
      </c>
      <c r="M316" s="49">
        <f t="shared" si="64"/>
        <v>0</v>
      </c>
      <c r="N316" s="29" t="str">
        <f t="shared" si="54"/>
        <v/>
      </c>
      <c r="O316" s="29">
        <f t="shared" si="55"/>
        <v>0</v>
      </c>
      <c r="P316" s="29">
        <f t="shared" si="56"/>
        <v>0</v>
      </c>
      <c r="Q316" s="29">
        <f>IF(A316&lt;&gt;"",SUM(F$2:F316),Q315)</f>
        <v>8</v>
      </c>
      <c r="R316" s="30">
        <f t="shared" si="65"/>
        <v>0</v>
      </c>
    </row>
    <row r="317" spans="1:18" x14ac:dyDescent="0.25">
      <c r="A317" s="27" t="str">
        <f>IF('Data Sheet'!A317="","",'Data Sheet'!A317)</f>
        <v/>
      </c>
      <c r="B317" s="28" t="str">
        <f>IF('Data Sheet'!B317="","",'Data Sheet'!B317)</f>
        <v/>
      </c>
      <c r="C317" s="28" t="str">
        <f>IF('Data Sheet'!C317="","",'Data Sheet'!C317)</f>
        <v/>
      </c>
      <c r="D317" s="28" t="str">
        <f>IF('Data Sheet'!D317="","",'Data Sheet'!D317)</f>
        <v/>
      </c>
      <c r="E317" s="29" t="str">
        <f t="shared" si="57"/>
        <v>C</v>
      </c>
      <c r="F317" s="51">
        <v>0</v>
      </c>
      <c r="G317" s="49">
        <f t="shared" si="58"/>
        <v>0</v>
      </c>
      <c r="H317" s="49">
        <f t="shared" si="59"/>
        <v>0</v>
      </c>
      <c r="I317" s="49">
        <f t="shared" si="60"/>
        <v>0</v>
      </c>
      <c r="J317" s="49">
        <f t="shared" si="61"/>
        <v>0</v>
      </c>
      <c r="K317" s="49">
        <f t="shared" si="62"/>
        <v>0</v>
      </c>
      <c r="L317" s="49">
        <f t="shared" si="63"/>
        <v>0</v>
      </c>
      <c r="M317" s="49">
        <f t="shared" si="64"/>
        <v>0</v>
      </c>
      <c r="N317" s="29" t="str">
        <f t="shared" si="54"/>
        <v/>
      </c>
      <c r="O317" s="29">
        <f t="shared" si="55"/>
        <v>0</v>
      </c>
      <c r="P317" s="29">
        <f t="shared" si="56"/>
        <v>0</v>
      </c>
      <c r="Q317" s="29">
        <f>IF(A317&lt;&gt;"",SUM(F$2:F317),Q316)</f>
        <v>8</v>
      </c>
      <c r="R317" s="30">
        <f t="shared" si="65"/>
        <v>0</v>
      </c>
    </row>
    <row r="318" spans="1:18" x14ac:dyDescent="0.25">
      <c r="A318" s="27" t="str">
        <f>IF('Data Sheet'!A318="","",'Data Sheet'!A318)</f>
        <v/>
      </c>
      <c r="B318" s="28" t="str">
        <f>IF('Data Sheet'!B318="","",'Data Sheet'!B318)</f>
        <v/>
      </c>
      <c r="C318" s="28" t="str">
        <f>IF('Data Sheet'!C318="","",'Data Sheet'!C318)</f>
        <v/>
      </c>
      <c r="D318" s="28" t="str">
        <f>IF('Data Sheet'!D318="","",'Data Sheet'!D318)</f>
        <v/>
      </c>
      <c r="E318" s="29" t="str">
        <f t="shared" si="57"/>
        <v>C</v>
      </c>
      <c r="F318" s="51">
        <v>0</v>
      </c>
      <c r="G318" s="49">
        <f t="shared" si="58"/>
        <v>0</v>
      </c>
      <c r="H318" s="49">
        <f t="shared" si="59"/>
        <v>0</v>
      </c>
      <c r="I318" s="49">
        <f t="shared" si="60"/>
        <v>0</v>
      </c>
      <c r="J318" s="49">
        <f t="shared" si="61"/>
        <v>0</v>
      </c>
      <c r="K318" s="49">
        <f t="shared" si="62"/>
        <v>0</v>
      </c>
      <c r="L318" s="49">
        <f t="shared" si="63"/>
        <v>0</v>
      </c>
      <c r="M318" s="49">
        <f t="shared" si="64"/>
        <v>0</v>
      </c>
      <c r="N318" s="29" t="str">
        <f t="shared" si="54"/>
        <v/>
      </c>
      <c r="O318" s="29">
        <f t="shared" si="55"/>
        <v>0</v>
      </c>
      <c r="P318" s="29">
        <f t="shared" si="56"/>
        <v>0</v>
      </c>
      <c r="Q318" s="29">
        <f>IF(A318&lt;&gt;"",SUM(F$2:F318),Q317)</f>
        <v>8</v>
      </c>
      <c r="R318" s="30">
        <f t="shared" si="65"/>
        <v>0</v>
      </c>
    </row>
    <row r="319" spans="1:18" x14ac:dyDescent="0.25">
      <c r="A319" s="27" t="str">
        <f>IF('Data Sheet'!A319="","",'Data Sheet'!A319)</f>
        <v/>
      </c>
      <c r="B319" s="28" t="str">
        <f>IF('Data Sheet'!B319="","",'Data Sheet'!B319)</f>
        <v/>
      </c>
      <c r="C319" s="28" t="str">
        <f>IF('Data Sheet'!C319="","",'Data Sheet'!C319)</f>
        <v/>
      </c>
      <c r="D319" s="28" t="str">
        <f>IF('Data Sheet'!D319="","",'Data Sheet'!D319)</f>
        <v/>
      </c>
      <c r="E319" s="29" t="str">
        <f t="shared" si="57"/>
        <v>C</v>
      </c>
      <c r="F319" s="51">
        <v>0</v>
      </c>
      <c r="G319" s="49">
        <f t="shared" si="58"/>
        <v>0</v>
      </c>
      <c r="H319" s="49">
        <f t="shared" si="59"/>
        <v>0</v>
      </c>
      <c r="I319" s="49">
        <f t="shared" si="60"/>
        <v>0</v>
      </c>
      <c r="J319" s="49">
        <f t="shared" si="61"/>
        <v>0</v>
      </c>
      <c r="K319" s="49">
        <f t="shared" si="62"/>
        <v>0</v>
      </c>
      <c r="L319" s="49">
        <f t="shared" si="63"/>
        <v>0</v>
      </c>
      <c r="M319" s="49">
        <f t="shared" si="64"/>
        <v>0</v>
      </c>
      <c r="N319" s="29" t="str">
        <f t="shared" si="54"/>
        <v/>
      </c>
      <c r="O319" s="29">
        <f t="shared" si="55"/>
        <v>0</v>
      </c>
      <c r="P319" s="29">
        <f t="shared" si="56"/>
        <v>0</v>
      </c>
      <c r="Q319" s="29">
        <f>IF(A319&lt;&gt;"",SUM(F$2:F319),Q318)</f>
        <v>8</v>
      </c>
      <c r="R319" s="30">
        <f t="shared" si="65"/>
        <v>0</v>
      </c>
    </row>
    <row r="320" spans="1:18" x14ac:dyDescent="0.25">
      <c r="A320" s="27" t="str">
        <f>IF('Data Sheet'!A320="","",'Data Sheet'!A320)</f>
        <v/>
      </c>
      <c r="B320" s="28" t="str">
        <f>IF('Data Sheet'!B320="","",'Data Sheet'!B320)</f>
        <v/>
      </c>
      <c r="C320" s="28" t="str">
        <f>IF('Data Sheet'!C320="","",'Data Sheet'!C320)</f>
        <v/>
      </c>
      <c r="D320" s="28" t="str">
        <f>IF('Data Sheet'!D320="","",'Data Sheet'!D320)</f>
        <v/>
      </c>
      <c r="E320" s="29" t="str">
        <f t="shared" si="57"/>
        <v>C</v>
      </c>
      <c r="F320" s="51">
        <v>0</v>
      </c>
      <c r="G320" s="49">
        <f t="shared" si="58"/>
        <v>0</v>
      </c>
      <c r="H320" s="49">
        <f t="shared" si="59"/>
        <v>0</v>
      </c>
      <c r="I320" s="49">
        <f t="shared" si="60"/>
        <v>0</v>
      </c>
      <c r="J320" s="49">
        <f t="shared" si="61"/>
        <v>0</v>
      </c>
      <c r="K320" s="49">
        <f t="shared" si="62"/>
        <v>0</v>
      </c>
      <c r="L320" s="49">
        <f t="shared" si="63"/>
        <v>0</v>
      </c>
      <c r="M320" s="49">
        <f t="shared" si="64"/>
        <v>0</v>
      </c>
      <c r="N320" s="29" t="str">
        <f t="shared" si="54"/>
        <v/>
      </c>
      <c r="O320" s="29">
        <f t="shared" si="55"/>
        <v>0</v>
      </c>
      <c r="P320" s="29">
        <f t="shared" si="56"/>
        <v>0</v>
      </c>
      <c r="Q320" s="29">
        <f>IF(A320&lt;&gt;"",SUM(F$2:F320),Q319)</f>
        <v>8</v>
      </c>
      <c r="R320" s="30">
        <f t="shared" si="65"/>
        <v>0</v>
      </c>
    </row>
    <row r="321" spans="1:18" x14ac:dyDescent="0.25">
      <c r="A321" s="27" t="str">
        <f>IF('Data Sheet'!A321="","",'Data Sheet'!A321)</f>
        <v/>
      </c>
      <c r="B321" s="28" t="str">
        <f>IF('Data Sheet'!B321="","",'Data Sheet'!B321)</f>
        <v/>
      </c>
      <c r="C321" s="28" t="str">
        <f>IF('Data Sheet'!C321="","",'Data Sheet'!C321)</f>
        <v/>
      </c>
      <c r="D321" s="28" t="str">
        <f>IF('Data Sheet'!D321="","",'Data Sheet'!D321)</f>
        <v/>
      </c>
      <c r="E321" s="29" t="str">
        <f t="shared" si="57"/>
        <v>C</v>
      </c>
      <c r="F321" s="51">
        <v>0</v>
      </c>
      <c r="G321" s="49">
        <f t="shared" si="58"/>
        <v>0</v>
      </c>
      <c r="H321" s="49">
        <f t="shared" si="59"/>
        <v>0</v>
      </c>
      <c r="I321" s="49">
        <f t="shared" si="60"/>
        <v>0</v>
      </c>
      <c r="J321" s="49">
        <f t="shared" si="61"/>
        <v>0</v>
      </c>
      <c r="K321" s="49">
        <f t="shared" si="62"/>
        <v>0</v>
      </c>
      <c r="L321" s="49">
        <f t="shared" si="63"/>
        <v>0</v>
      </c>
      <c r="M321" s="49">
        <f t="shared" si="64"/>
        <v>0</v>
      </c>
      <c r="N321" s="29" t="str">
        <f t="shared" si="54"/>
        <v/>
      </c>
      <c r="O321" s="29">
        <f t="shared" si="55"/>
        <v>0</v>
      </c>
      <c r="P321" s="29">
        <f t="shared" si="56"/>
        <v>0</v>
      </c>
      <c r="Q321" s="29">
        <f>IF(A321&lt;&gt;"",SUM(F$2:F321),Q320)</f>
        <v>8</v>
      </c>
      <c r="R321" s="30">
        <f t="shared" si="65"/>
        <v>0</v>
      </c>
    </row>
    <row r="322" spans="1:18" x14ac:dyDescent="0.25">
      <c r="A322" s="27" t="str">
        <f>IF('Data Sheet'!A322="","",'Data Sheet'!A322)</f>
        <v/>
      </c>
      <c r="B322" s="28" t="str">
        <f>IF('Data Sheet'!B322="","",'Data Sheet'!B322)</f>
        <v/>
      </c>
      <c r="C322" s="28" t="str">
        <f>IF('Data Sheet'!C322="","",'Data Sheet'!C322)</f>
        <v/>
      </c>
      <c r="D322" s="28" t="str">
        <f>IF('Data Sheet'!D322="","",'Data Sheet'!D322)</f>
        <v/>
      </c>
      <c r="E322" s="29" t="str">
        <f t="shared" si="57"/>
        <v>C</v>
      </c>
      <c r="F322" s="51">
        <v>0</v>
      </c>
      <c r="G322" s="49">
        <f t="shared" si="58"/>
        <v>0</v>
      </c>
      <c r="H322" s="49">
        <f t="shared" si="59"/>
        <v>0</v>
      </c>
      <c r="I322" s="49">
        <f t="shared" si="60"/>
        <v>0</v>
      </c>
      <c r="J322" s="49">
        <f t="shared" si="61"/>
        <v>0</v>
      </c>
      <c r="K322" s="49">
        <f t="shared" si="62"/>
        <v>0</v>
      </c>
      <c r="L322" s="49">
        <f t="shared" si="63"/>
        <v>0</v>
      </c>
      <c r="M322" s="49">
        <f t="shared" si="64"/>
        <v>0</v>
      </c>
      <c r="N322" s="29" t="str">
        <f t="shared" ref="N322:N385" si="66">IFERROR(VLOOKUP(B322,$U$16:$U$23,1,FALSE), "")</f>
        <v/>
      </c>
      <c r="O322" s="29">
        <f t="shared" ref="O322:O385" si="67">IF(A322="",0,IF(N322="",D322,D322*10))</f>
        <v>0</v>
      </c>
      <c r="P322" s="29">
        <f t="shared" ref="P322:P385" si="68">O322*F322</f>
        <v>0</v>
      </c>
      <c r="Q322" s="29">
        <f>IF(A322&lt;&gt;"",SUM(F$2:F322),Q321)</f>
        <v>8</v>
      </c>
      <c r="R322" s="30">
        <f t="shared" si="65"/>
        <v>0</v>
      </c>
    </row>
    <row r="323" spans="1:18" x14ac:dyDescent="0.25">
      <c r="A323" s="27" t="str">
        <f>IF('Data Sheet'!A323="","",'Data Sheet'!A323)</f>
        <v/>
      </c>
      <c r="B323" s="28" t="str">
        <f>IF('Data Sheet'!B323="","",'Data Sheet'!B323)</f>
        <v/>
      </c>
      <c r="C323" s="28" t="str">
        <f>IF('Data Sheet'!C323="","",'Data Sheet'!C323)</f>
        <v/>
      </c>
      <c r="D323" s="28" t="str">
        <f>IF('Data Sheet'!D323="","",'Data Sheet'!D323)</f>
        <v/>
      </c>
      <c r="E323" s="29" t="str">
        <f t="shared" ref="E323:E381" si="69">IF(OR(A323="SF",A323="PF"),"F",IF(OR(A323="SG",A323="PG"),"G","C"))</f>
        <v>C</v>
      </c>
      <c r="F323" s="51">
        <v>0</v>
      </c>
      <c r="G323" s="49">
        <f t="shared" ref="G323:G386" si="70">IF(A323="SF",1,0)</f>
        <v>0</v>
      </c>
      <c r="H323" s="49">
        <f t="shared" ref="H323:H386" si="71">IF(A323="SG",1,0)</f>
        <v>0</v>
      </c>
      <c r="I323" s="49">
        <f t="shared" ref="I323:I386" si="72">IF(A323="C",1,0)</f>
        <v>0</v>
      </c>
      <c r="J323" s="49">
        <f t="shared" ref="J323:J386" si="73">IF(A323="PG",1,0)</f>
        <v>0</v>
      </c>
      <c r="K323" s="49">
        <f t="shared" ref="K323:K386" si="74">IF(A323="PF",1,0)</f>
        <v>0</v>
      </c>
      <c r="L323" s="49">
        <f t="shared" ref="L323:L386" si="75">IF(E323="G",1,0)</f>
        <v>0</v>
      </c>
      <c r="M323" s="49">
        <f t="shared" ref="M323:M386" si="76">IF(E323="F",1,0)</f>
        <v>0</v>
      </c>
      <c r="N323" s="29" t="str">
        <f t="shared" si="66"/>
        <v/>
      </c>
      <c r="O323" s="29">
        <f t="shared" si="67"/>
        <v>0</v>
      </c>
      <c r="P323" s="29">
        <f t="shared" si="68"/>
        <v>0</v>
      </c>
      <c r="Q323" s="29">
        <f>IF(A323&lt;&gt;"",SUM(F$2:F323),Q322)</f>
        <v>8</v>
      </c>
      <c r="R323" s="30">
        <f t="shared" si="65"/>
        <v>0</v>
      </c>
    </row>
    <row r="324" spans="1:18" x14ac:dyDescent="0.25">
      <c r="A324" s="27" t="str">
        <f>IF('Data Sheet'!A324="","",'Data Sheet'!A324)</f>
        <v/>
      </c>
      <c r="B324" s="28" t="str">
        <f>IF('Data Sheet'!B324="","",'Data Sheet'!B324)</f>
        <v/>
      </c>
      <c r="C324" s="28" t="str">
        <f>IF('Data Sheet'!C324="","",'Data Sheet'!C324)</f>
        <v/>
      </c>
      <c r="D324" s="28" t="str">
        <f>IF('Data Sheet'!D324="","",'Data Sheet'!D324)</f>
        <v/>
      </c>
      <c r="E324" s="29" t="str">
        <f t="shared" si="69"/>
        <v>C</v>
      </c>
      <c r="F324" s="51">
        <v>0</v>
      </c>
      <c r="G324" s="49">
        <f t="shared" si="70"/>
        <v>0</v>
      </c>
      <c r="H324" s="49">
        <f t="shared" si="71"/>
        <v>0</v>
      </c>
      <c r="I324" s="49">
        <f t="shared" si="72"/>
        <v>0</v>
      </c>
      <c r="J324" s="49">
        <f t="shared" si="73"/>
        <v>0</v>
      </c>
      <c r="K324" s="49">
        <f t="shared" si="74"/>
        <v>0</v>
      </c>
      <c r="L324" s="49">
        <f t="shared" si="75"/>
        <v>0</v>
      </c>
      <c r="M324" s="49">
        <f t="shared" si="76"/>
        <v>0</v>
      </c>
      <c r="N324" s="29" t="str">
        <f t="shared" si="66"/>
        <v/>
      </c>
      <c r="O324" s="29">
        <f t="shared" si="67"/>
        <v>0</v>
      </c>
      <c r="P324" s="29">
        <f t="shared" si="68"/>
        <v>0</v>
      </c>
      <c r="Q324" s="29">
        <f>IF(A324&lt;&gt;"",SUM(F$2:F324),Q323)</f>
        <v>8</v>
      </c>
      <c r="R324" s="30">
        <f t="shared" ref="R324:R387" si="77">IF(Q324=Q323,0,Q324)</f>
        <v>0</v>
      </c>
    </row>
    <row r="325" spans="1:18" x14ac:dyDescent="0.25">
      <c r="A325" s="27" t="str">
        <f>IF('Data Sheet'!A325="","",'Data Sheet'!A325)</f>
        <v/>
      </c>
      <c r="B325" s="28" t="str">
        <f>IF('Data Sheet'!B325="","",'Data Sheet'!B325)</f>
        <v/>
      </c>
      <c r="C325" s="28" t="str">
        <f>IF('Data Sheet'!C325="","",'Data Sheet'!C325)</f>
        <v/>
      </c>
      <c r="D325" s="28" t="str">
        <f>IF('Data Sheet'!D325="","",'Data Sheet'!D325)</f>
        <v/>
      </c>
      <c r="E325" s="29" t="str">
        <f t="shared" si="69"/>
        <v>C</v>
      </c>
      <c r="F325" s="51">
        <v>0</v>
      </c>
      <c r="G325" s="49">
        <f t="shared" si="70"/>
        <v>0</v>
      </c>
      <c r="H325" s="49">
        <f t="shared" si="71"/>
        <v>0</v>
      </c>
      <c r="I325" s="49">
        <f t="shared" si="72"/>
        <v>0</v>
      </c>
      <c r="J325" s="49">
        <f t="shared" si="73"/>
        <v>0</v>
      </c>
      <c r="K325" s="49">
        <f t="shared" si="74"/>
        <v>0</v>
      </c>
      <c r="L325" s="49">
        <f t="shared" si="75"/>
        <v>0</v>
      </c>
      <c r="M325" s="49">
        <f t="shared" si="76"/>
        <v>0</v>
      </c>
      <c r="N325" s="29" t="str">
        <f t="shared" si="66"/>
        <v/>
      </c>
      <c r="O325" s="29">
        <f t="shared" si="67"/>
        <v>0</v>
      </c>
      <c r="P325" s="29">
        <f t="shared" si="68"/>
        <v>0</v>
      </c>
      <c r="Q325" s="29">
        <f>IF(A325&lt;&gt;"",SUM(F$2:F325),Q324)</f>
        <v>8</v>
      </c>
      <c r="R325" s="30">
        <f t="shared" si="77"/>
        <v>0</v>
      </c>
    </row>
    <row r="326" spans="1:18" x14ac:dyDescent="0.25">
      <c r="A326" s="27" t="str">
        <f>IF('Data Sheet'!A326="","",'Data Sheet'!A326)</f>
        <v/>
      </c>
      <c r="B326" s="28" t="str">
        <f>IF('Data Sheet'!B326="","",'Data Sheet'!B326)</f>
        <v/>
      </c>
      <c r="C326" s="28" t="str">
        <f>IF('Data Sheet'!C326="","",'Data Sheet'!C326)</f>
        <v/>
      </c>
      <c r="D326" s="28" t="str">
        <f>IF('Data Sheet'!D326="","",'Data Sheet'!D326)</f>
        <v/>
      </c>
      <c r="E326" s="29" t="str">
        <f t="shared" si="69"/>
        <v>C</v>
      </c>
      <c r="F326" s="51">
        <v>0</v>
      </c>
      <c r="G326" s="49">
        <f t="shared" si="70"/>
        <v>0</v>
      </c>
      <c r="H326" s="49">
        <f t="shared" si="71"/>
        <v>0</v>
      </c>
      <c r="I326" s="49">
        <f t="shared" si="72"/>
        <v>0</v>
      </c>
      <c r="J326" s="49">
        <f t="shared" si="73"/>
        <v>0</v>
      </c>
      <c r="K326" s="49">
        <f t="shared" si="74"/>
        <v>0</v>
      </c>
      <c r="L326" s="49">
        <f t="shared" si="75"/>
        <v>0</v>
      </c>
      <c r="M326" s="49">
        <f t="shared" si="76"/>
        <v>0</v>
      </c>
      <c r="N326" s="29" t="str">
        <f t="shared" si="66"/>
        <v/>
      </c>
      <c r="O326" s="29">
        <f t="shared" si="67"/>
        <v>0</v>
      </c>
      <c r="P326" s="29">
        <f t="shared" si="68"/>
        <v>0</v>
      </c>
      <c r="Q326" s="29">
        <f>IF(A326&lt;&gt;"",SUM(F$2:F326),Q325)</f>
        <v>8</v>
      </c>
      <c r="R326" s="30">
        <f t="shared" si="77"/>
        <v>0</v>
      </c>
    </row>
    <row r="327" spans="1:18" x14ac:dyDescent="0.25">
      <c r="A327" s="27" t="str">
        <f>IF('Data Sheet'!A327="","",'Data Sheet'!A327)</f>
        <v/>
      </c>
      <c r="B327" s="28" t="str">
        <f>IF('Data Sheet'!B327="","",'Data Sheet'!B327)</f>
        <v/>
      </c>
      <c r="C327" s="28" t="str">
        <f>IF('Data Sheet'!C327="","",'Data Sheet'!C327)</f>
        <v/>
      </c>
      <c r="D327" s="28" t="str">
        <f>IF('Data Sheet'!D327="","",'Data Sheet'!D327)</f>
        <v/>
      </c>
      <c r="E327" s="29" t="str">
        <f t="shared" si="69"/>
        <v>C</v>
      </c>
      <c r="F327" s="51">
        <v>0</v>
      </c>
      <c r="G327" s="49">
        <f t="shared" si="70"/>
        <v>0</v>
      </c>
      <c r="H327" s="49">
        <f t="shared" si="71"/>
        <v>0</v>
      </c>
      <c r="I327" s="49">
        <f t="shared" si="72"/>
        <v>0</v>
      </c>
      <c r="J327" s="49">
        <f t="shared" si="73"/>
        <v>0</v>
      </c>
      <c r="K327" s="49">
        <f t="shared" si="74"/>
        <v>0</v>
      </c>
      <c r="L327" s="49">
        <f t="shared" si="75"/>
        <v>0</v>
      </c>
      <c r="M327" s="49">
        <f t="shared" si="76"/>
        <v>0</v>
      </c>
      <c r="N327" s="29" t="str">
        <f t="shared" si="66"/>
        <v/>
      </c>
      <c r="O327" s="29">
        <f t="shared" si="67"/>
        <v>0</v>
      </c>
      <c r="P327" s="29">
        <f t="shared" si="68"/>
        <v>0</v>
      </c>
      <c r="Q327" s="29">
        <f>IF(A327&lt;&gt;"",SUM(F$2:F327),Q326)</f>
        <v>8</v>
      </c>
      <c r="R327" s="30">
        <f t="shared" si="77"/>
        <v>0</v>
      </c>
    </row>
    <row r="328" spans="1:18" x14ac:dyDescent="0.25">
      <c r="A328" s="27" t="str">
        <f>IF('Data Sheet'!A328="","",'Data Sheet'!A328)</f>
        <v/>
      </c>
      <c r="B328" s="28" t="str">
        <f>IF('Data Sheet'!B328="","",'Data Sheet'!B328)</f>
        <v/>
      </c>
      <c r="C328" s="28" t="str">
        <f>IF('Data Sheet'!C328="","",'Data Sheet'!C328)</f>
        <v/>
      </c>
      <c r="D328" s="28" t="str">
        <f>IF('Data Sheet'!D328="","",'Data Sheet'!D328)</f>
        <v/>
      </c>
      <c r="E328" s="29" t="str">
        <f t="shared" si="69"/>
        <v>C</v>
      </c>
      <c r="F328" s="51">
        <v>0</v>
      </c>
      <c r="G328" s="49">
        <f t="shared" si="70"/>
        <v>0</v>
      </c>
      <c r="H328" s="49">
        <f t="shared" si="71"/>
        <v>0</v>
      </c>
      <c r="I328" s="49">
        <f t="shared" si="72"/>
        <v>0</v>
      </c>
      <c r="J328" s="49">
        <f t="shared" si="73"/>
        <v>0</v>
      </c>
      <c r="K328" s="49">
        <f t="shared" si="74"/>
        <v>0</v>
      </c>
      <c r="L328" s="49">
        <f t="shared" si="75"/>
        <v>0</v>
      </c>
      <c r="M328" s="49">
        <f t="shared" si="76"/>
        <v>0</v>
      </c>
      <c r="N328" s="29" t="str">
        <f t="shared" si="66"/>
        <v/>
      </c>
      <c r="O328" s="29">
        <f t="shared" si="67"/>
        <v>0</v>
      </c>
      <c r="P328" s="29">
        <f t="shared" si="68"/>
        <v>0</v>
      </c>
      <c r="Q328" s="29">
        <f>IF(A328&lt;&gt;"",SUM(F$2:F328),Q327)</f>
        <v>8</v>
      </c>
      <c r="R328" s="30">
        <f t="shared" si="77"/>
        <v>0</v>
      </c>
    </row>
    <row r="329" spans="1:18" x14ac:dyDescent="0.25">
      <c r="A329" s="27" t="str">
        <f>IF('Data Sheet'!A329="","",'Data Sheet'!A329)</f>
        <v/>
      </c>
      <c r="B329" s="28" t="str">
        <f>IF('Data Sheet'!B329="","",'Data Sheet'!B329)</f>
        <v/>
      </c>
      <c r="C329" s="28" t="str">
        <f>IF('Data Sheet'!C329="","",'Data Sheet'!C329)</f>
        <v/>
      </c>
      <c r="D329" s="28" t="str">
        <f>IF('Data Sheet'!D329="","",'Data Sheet'!D329)</f>
        <v/>
      </c>
      <c r="E329" s="29" t="str">
        <f t="shared" si="69"/>
        <v>C</v>
      </c>
      <c r="F329" s="51">
        <v>0</v>
      </c>
      <c r="G329" s="49">
        <f t="shared" si="70"/>
        <v>0</v>
      </c>
      <c r="H329" s="49">
        <f t="shared" si="71"/>
        <v>0</v>
      </c>
      <c r="I329" s="49">
        <f t="shared" si="72"/>
        <v>0</v>
      </c>
      <c r="J329" s="49">
        <f t="shared" si="73"/>
        <v>0</v>
      </c>
      <c r="K329" s="49">
        <f t="shared" si="74"/>
        <v>0</v>
      </c>
      <c r="L329" s="49">
        <f t="shared" si="75"/>
        <v>0</v>
      </c>
      <c r="M329" s="49">
        <f t="shared" si="76"/>
        <v>0</v>
      </c>
      <c r="N329" s="29" t="str">
        <f t="shared" si="66"/>
        <v/>
      </c>
      <c r="O329" s="29">
        <f t="shared" si="67"/>
        <v>0</v>
      </c>
      <c r="P329" s="29">
        <f t="shared" si="68"/>
        <v>0</v>
      </c>
      <c r="Q329" s="29">
        <f>IF(A329&lt;&gt;"",SUM(F$2:F329),Q328)</f>
        <v>8</v>
      </c>
      <c r="R329" s="30">
        <f t="shared" si="77"/>
        <v>0</v>
      </c>
    </row>
    <row r="330" spans="1:18" x14ac:dyDescent="0.25">
      <c r="A330" s="27" t="str">
        <f>IF('Data Sheet'!A330="","",'Data Sheet'!A330)</f>
        <v/>
      </c>
      <c r="B330" s="28" t="str">
        <f>IF('Data Sheet'!B330="","",'Data Sheet'!B330)</f>
        <v/>
      </c>
      <c r="C330" s="28" t="str">
        <f>IF('Data Sheet'!C330="","",'Data Sheet'!C330)</f>
        <v/>
      </c>
      <c r="D330" s="28" t="str">
        <f>IF('Data Sheet'!D330="","",'Data Sheet'!D330)</f>
        <v/>
      </c>
      <c r="E330" s="29" t="str">
        <f t="shared" si="69"/>
        <v>C</v>
      </c>
      <c r="F330" s="51">
        <v>0</v>
      </c>
      <c r="G330" s="49">
        <f t="shared" si="70"/>
        <v>0</v>
      </c>
      <c r="H330" s="49">
        <f t="shared" si="71"/>
        <v>0</v>
      </c>
      <c r="I330" s="49">
        <f t="shared" si="72"/>
        <v>0</v>
      </c>
      <c r="J330" s="49">
        <f t="shared" si="73"/>
        <v>0</v>
      </c>
      <c r="K330" s="49">
        <f t="shared" si="74"/>
        <v>0</v>
      </c>
      <c r="L330" s="49">
        <f t="shared" si="75"/>
        <v>0</v>
      </c>
      <c r="M330" s="49">
        <f t="shared" si="76"/>
        <v>0</v>
      </c>
      <c r="N330" s="29" t="str">
        <f t="shared" si="66"/>
        <v/>
      </c>
      <c r="O330" s="29">
        <f t="shared" si="67"/>
        <v>0</v>
      </c>
      <c r="P330" s="29">
        <f t="shared" si="68"/>
        <v>0</v>
      </c>
      <c r="Q330" s="29">
        <f>IF(A330&lt;&gt;"",SUM(F$2:F330),Q329)</f>
        <v>8</v>
      </c>
      <c r="R330" s="30">
        <f t="shared" si="77"/>
        <v>0</v>
      </c>
    </row>
    <row r="331" spans="1:18" x14ac:dyDescent="0.25">
      <c r="A331" s="27" t="str">
        <f>IF('Data Sheet'!A331="","",'Data Sheet'!A331)</f>
        <v/>
      </c>
      <c r="B331" s="28" t="str">
        <f>IF('Data Sheet'!B331="","",'Data Sheet'!B331)</f>
        <v/>
      </c>
      <c r="C331" s="28" t="str">
        <f>IF('Data Sheet'!C331="","",'Data Sheet'!C331)</f>
        <v/>
      </c>
      <c r="D331" s="28" t="str">
        <f>IF('Data Sheet'!D331="","",'Data Sheet'!D331)</f>
        <v/>
      </c>
      <c r="E331" s="29" t="str">
        <f t="shared" si="69"/>
        <v>C</v>
      </c>
      <c r="F331" s="51">
        <v>0</v>
      </c>
      <c r="G331" s="49">
        <f t="shared" si="70"/>
        <v>0</v>
      </c>
      <c r="H331" s="49">
        <f t="shared" si="71"/>
        <v>0</v>
      </c>
      <c r="I331" s="49">
        <f t="shared" si="72"/>
        <v>0</v>
      </c>
      <c r="J331" s="49">
        <f t="shared" si="73"/>
        <v>0</v>
      </c>
      <c r="K331" s="49">
        <f t="shared" si="74"/>
        <v>0</v>
      </c>
      <c r="L331" s="49">
        <f t="shared" si="75"/>
        <v>0</v>
      </c>
      <c r="M331" s="49">
        <f t="shared" si="76"/>
        <v>0</v>
      </c>
      <c r="N331" s="29" t="str">
        <f t="shared" si="66"/>
        <v/>
      </c>
      <c r="O331" s="29">
        <f t="shared" si="67"/>
        <v>0</v>
      </c>
      <c r="P331" s="29">
        <f t="shared" si="68"/>
        <v>0</v>
      </c>
      <c r="Q331" s="29">
        <f>IF(A331&lt;&gt;"",SUM(F$2:F331),Q330)</f>
        <v>8</v>
      </c>
      <c r="R331" s="30">
        <f t="shared" si="77"/>
        <v>0</v>
      </c>
    </row>
    <row r="332" spans="1:18" x14ac:dyDescent="0.25">
      <c r="A332" s="27" t="str">
        <f>IF('Data Sheet'!A332="","",'Data Sheet'!A332)</f>
        <v/>
      </c>
      <c r="B332" s="28" t="str">
        <f>IF('Data Sheet'!B332="","",'Data Sheet'!B332)</f>
        <v/>
      </c>
      <c r="C332" s="28" t="str">
        <f>IF('Data Sheet'!C332="","",'Data Sheet'!C332)</f>
        <v/>
      </c>
      <c r="D332" s="28" t="str">
        <f>IF('Data Sheet'!D332="","",'Data Sheet'!D332)</f>
        <v/>
      </c>
      <c r="E332" s="29" t="str">
        <f t="shared" si="69"/>
        <v>C</v>
      </c>
      <c r="F332" s="51">
        <v>0</v>
      </c>
      <c r="G332" s="49">
        <f t="shared" si="70"/>
        <v>0</v>
      </c>
      <c r="H332" s="49">
        <f t="shared" si="71"/>
        <v>0</v>
      </c>
      <c r="I332" s="49">
        <f t="shared" si="72"/>
        <v>0</v>
      </c>
      <c r="J332" s="49">
        <f t="shared" si="73"/>
        <v>0</v>
      </c>
      <c r="K332" s="49">
        <f t="shared" si="74"/>
        <v>0</v>
      </c>
      <c r="L332" s="49">
        <f t="shared" si="75"/>
        <v>0</v>
      </c>
      <c r="M332" s="49">
        <f t="shared" si="76"/>
        <v>0</v>
      </c>
      <c r="N332" s="29" t="str">
        <f t="shared" si="66"/>
        <v/>
      </c>
      <c r="O332" s="29">
        <f t="shared" si="67"/>
        <v>0</v>
      </c>
      <c r="P332" s="29">
        <f t="shared" si="68"/>
        <v>0</v>
      </c>
      <c r="Q332" s="29">
        <f>IF(A332&lt;&gt;"",SUM(F$2:F332),Q331)</f>
        <v>8</v>
      </c>
      <c r="R332" s="30">
        <f t="shared" si="77"/>
        <v>0</v>
      </c>
    </row>
    <row r="333" spans="1:18" x14ac:dyDescent="0.25">
      <c r="A333" s="27" t="str">
        <f>IF('Data Sheet'!A333="","",'Data Sheet'!A333)</f>
        <v/>
      </c>
      <c r="B333" s="28" t="str">
        <f>IF('Data Sheet'!B333="","",'Data Sheet'!B333)</f>
        <v/>
      </c>
      <c r="C333" s="28" t="str">
        <f>IF('Data Sheet'!C333="","",'Data Sheet'!C333)</f>
        <v/>
      </c>
      <c r="D333" s="28" t="str">
        <f>IF('Data Sheet'!D333="","",'Data Sheet'!D333)</f>
        <v/>
      </c>
      <c r="E333" s="29" t="str">
        <f t="shared" si="69"/>
        <v>C</v>
      </c>
      <c r="F333" s="51">
        <v>0</v>
      </c>
      <c r="G333" s="49">
        <f t="shared" si="70"/>
        <v>0</v>
      </c>
      <c r="H333" s="49">
        <f t="shared" si="71"/>
        <v>0</v>
      </c>
      <c r="I333" s="49">
        <f t="shared" si="72"/>
        <v>0</v>
      </c>
      <c r="J333" s="49">
        <f t="shared" si="73"/>
        <v>0</v>
      </c>
      <c r="K333" s="49">
        <f t="shared" si="74"/>
        <v>0</v>
      </c>
      <c r="L333" s="49">
        <f t="shared" si="75"/>
        <v>0</v>
      </c>
      <c r="M333" s="49">
        <f t="shared" si="76"/>
        <v>0</v>
      </c>
      <c r="N333" s="29" t="str">
        <f t="shared" si="66"/>
        <v/>
      </c>
      <c r="O333" s="29">
        <f t="shared" si="67"/>
        <v>0</v>
      </c>
      <c r="P333" s="29">
        <f t="shared" si="68"/>
        <v>0</v>
      </c>
      <c r="Q333" s="29">
        <f>IF(A333&lt;&gt;"",SUM(F$2:F333),Q332)</f>
        <v>8</v>
      </c>
      <c r="R333" s="30">
        <f t="shared" si="77"/>
        <v>0</v>
      </c>
    </row>
    <row r="334" spans="1:18" x14ac:dyDescent="0.25">
      <c r="A334" s="27" t="str">
        <f>IF('Data Sheet'!A334="","",'Data Sheet'!A334)</f>
        <v/>
      </c>
      <c r="B334" s="28" t="str">
        <f>IF('Data Sheet'!B334="","",'Data Sheet'!B334)</f>
        <v/>
      </c>
      <c r="C334" s="28" t="str">
        <f>IF('Data Sheet'!C334="","",'Data Sheet'!C334)</f>
        <v/>
      </c>
      <c r="D334" s="28" t="str">
        <f>IF('Data Sheet'!D334="","",'Data Sheet'!D334)</f>
        <v/>
      </c>
      <c r="E334" s="29" t="str">
        <f t="shared" si="69"/>
        <v>C</v>
      </c>
      <c r="F334" s="51">
        <v>0</v>
      </c>
      <c r="G334" s="49">
        <f t="shared" si="70"/>
        <v>0</v>
      </c>
      <c r="H334" s="49">
        <f t="shared" si="71"/>
        <v>0</v>
      </c>
      <c r="I334" s="49">
        <f t="shared" si="72"/>
        <v>0</v>
      </c>
      <c r="J334" s="49">
        <f t="shared" si="73"/>
        <v>0</v>
      </c>
      <c r="K334" s="49">
        <f t="shared" si="74"/>
        <v>0</v>
      </c>
      <c r="L334" s="49">
        <f t="shared" si="75"/>
        <v>0</v>
      </c>
      <c r="M334" s="49">
        <f t="shared" si="76"/>
        <v>0</v>
      </c>
      <c r="N334" s="29" t="str">
        <f t="shared" si="66"/>
        <v/>
      </c>
      <c r="O334" s="29">
        <f t="shared" si="67"/>
        <v>0</v>
      </c>
      <c r="P334" s="29">
        <f t="shared" si="68"/>
        <v>0</v>
      </c>
      <c r="Q334" s="29">
        <f>IF(A334&lt;&gt;"",SUM(F$2:F334),Q333)</f>
        <v>8</v>
      </c>
      <c r="R334" s="30">
        <f t="shared" si="77"/>
        <v>0</v>
      </c>
    </row>
    <row r="335" spans="1:18" x14ac:dyDescent="0.25">
      <c r="A335" s="27" t="str">
        <f>IF('Data Sheet'!A335="","",'Data Sheet'!A335)</f>
        <v/>
      </c>
      <c r="B335" s="28" t="str">
        <f>IF('Data Sheet'!B335="","",'Data Sheet'!B335)</f>
        <v/>
      </c>
      <c r="C335" s="28" t="str">
        <f>IF('Data Sheet'!C335="","",'Data Sheet'!C335)</f>
        <v/>
      </c>
      <c r="D335" s="28" t="str">
        <f>IF('Data Sheet'!D335="","",'Data Sheet'!D335)</f>
        <v/>
      </c>
      <c r="E335" s="29" t="str">
        <f t="shared" si="69"/>
        <v>C</v>
      </c>
      <c r="F335" s="51">
        <v>0</v>
      </c>
      <c r="G335" s="49">
        <f t="shared" si="70"/>
        <v>0</v>
      </c>
      <c r="H335" s="49">
        <f t="shared" si="71"/>
        <v>0</v>
      </c>
      <c r="I335" s="49">
        <f t="shared" si="72"/>
        <v>0</v>
      </c>
      <c r="J335" s="49">
        <f t="shared" si="73"/>
        <v>0</v>
      </c>
      <c r="K335" s="49">
        <f t="shared" si="74"/>
        <v>0</v>
      </c>
      <c r="L335" s="49">
        <f t="shared" si="75"/>
        <v>0</v>
      </c>
      <c r="M335" s="49">
        <f t="shared" si="76"/>
        <v>0</v>
      </c>
      <c r="N335" s="29" t="str">
        <f t="shared" si="66"/>
        <v/>
      </c>
      <c r="O335" s="29">
        <f t="shared" si="67"/>
        <v>0</v>
      </c>
      <c r="P335" s="29">
        <f t="shared" si="68"/>
        <v>0</v>
      </c>
      <c r="Q335" s="29">
        <f>IF(A335&lt;&gt;"",SUM(F$2:F335),Q334)</f>
        <v>8</v>
      </c>
      <c r="R335" s="30">
        <f t="shared" si="77"/>
        <v>0</v>
      </c>
    </row>
    <row r="336" spans="1:18" x14ac:dyDescent="0.25">
      <c r="A336" s="27" t="str">
        <f>IF('Data Sheet'!A336="","",'Data Sheet'!A336)</f>
        <v/>
      </c>
      <c r="B336" s="28" t="str">
        <f>IF('Data Sheet'!B336="","",'Data Sheet'!B336)</f>
        <v/>
      </c>
      <c r="C336" s="28" t="str">
        <f>IF('Data Sheet'!C336="","",'Data Sheet'!C336)</f>
        <v/>
      </c>
      <c r="D336" s="28" t="str">
        <f>IF('Data Sheet'!D336="","",'Data Sheet'!D336)</f>
        <v/>
      </c>
      <c r="E336" s="29" t="str">
        <f t="shared" si="69"/>
        <v>C</v>
      </c>
      <c r="F336" s="51">
        <v>0</v>
      </c>
      <c r="G336" s="49">
        <f t="shared" si="70"/>
        <v>0</v>
      </c>
      <c r="H336" s="49">
        <f t="shared" si="71"/>
        <v>0</v>
      </c>
      <c r="I336" s="49">
        <f t="shared" si="72"/>
        <v>0</v>
      </c>
      <c r="J336" s="49">
        <f t="shared" si="73"/>
        <v>0</v>
      </c>
      <c r="K336" s="49">
        <f t="shared" si="74"/>
        <v>0</v>
      </c>
      <c r="L336" s="49">
        <f t="shared" si="75"/>
        <v>0</v>
      </c>
      <c r="M336" s="49">
        <f t="shared" si="76"/>
        <v>0</v>
      </c>
      <c r="N336" s="29" t="str">
        <f t="shared" si="66"/>
        <v/>
      </c>
      <c r="O336" s="29">
        <f t="shared" si="67"/>
        <v>0</v>
      </c>
      <c r="P336" s="29">
        <f t="shared" si="68"/>
        <v>0</v>
      </c>
      <c r="Q336" s="29">
        <f>IF(A336&lt;&gt;"",SUM(F$2:F336),Q335)</f>
        <v>8</v>
      </c>
      <c r="R336" s="30">
        <f t="shared" si="77"/>
        <v>0</v>
      </c>
    </row>
    <row r="337" spans="1:18" x14ac:dyDescent="0.25">
      <c r="A337" s="27" t="str">
        <f>IF('Data Sheet'!A337="","",'Data Sheet'!A337)</f>
        <v/>
      </c>
      <c r="B337" s="28" t="str">
        <f>IF('Data Sheet'!B337="","",'Data Sheet'!B337)</f>
        <v/>
      </c>
      <c r="C337" s="28" t="str">
        <f>IF('Data Sheet'!C337="","",'Data Sheet'!C337)</f>
        <v/>
      </c>
      <c r="D337" s="28" t="str">
        <f>IF('Data Sheet'!D337="","",'Data Sheet'!D337)</f>
        <v/>
      </c>
      <c r="E337" s="29" t="str">
        <f t="shared" si="69"/>
        <v>C</v>
      </c>
      <c r="F337" s="51">
        <v>0</v>
      </c>
      <c r="G337" s="49">
        <f t="shared" si="70"/>
        <v>0</v>
      </c>
      <c r="H337" s="49">
        <f t="shared" si="71"/>
        <v>0</v>
      </c>
      <c r="I337" s="49">
        <f t="shared" si="72"/>
        <v>0</v>
      </c>
      <c r="J337" s="49">
        <f t="shared" si="73"/>
        <v>0</v>
      </c>
      <c r="K337" s="49">
        <f t="shared" si="74"/>
        <v>0</v>
      </c>
      <c r="L337" s="49">
        <f t="shared" si="75"/>
        <v>0</v>
      </c>
      <c r="M337" s="49">
        <f t="shared" si="76"/>
        <v>0</v>
      </c>
      <c r="N337" s="29" t="str">
        <f t="shared" si="66"/>
        <v/>
      </c>
      <c r="O337" s="29">
        <f t="shared" si="67"/>
        <v>0</v>
      </c>
      <c r="P337" s="29">
        <f t="shared" si="68"/>
        <v>0</v>
      </c>
      <c r="Q337" s="29">
        <f>IF(A337&lt;&gt;"",SUM(F$2:F337),Q336)</f>
        <v>8</v>
      </c>
      <c r="R337" s="30">
        <f t="shared" si="77"/>
        <v>0</v>
      </c>
    </row>
    <row r="338" spans="1:18" x14ac:dyDescent="0.25">
      <c r="A338" s="27" t="str">
        <f>IF('Data Sheet'!A338="","",'Data Sheet'!A338)</f>
        <v/>
      </c>
      <c r="B338" s="28" t="str">
        <f>IF('Data Sheet'!B338="","",'Data Sheet'!B338)</f>
        <v/>
      </c>
      <c r="C338" s="28" t="str">
        <f>IF('Data Sheet'!C338="","",'Data Sheet'!C338)</f>
        <v/>
      </c>
      <c r="D338" s="28" t="str">
        <f>IF('Data Sheet'!D338="","",'Data Sheet'!D338)</f>
        <v/>
      </c>
      <c r="E338" s="29" t="str">
        <f t="shared" si="69"/>
        <v>C</v>
      </c>
      <c r="F338" s="51">
        <v>0</v>
      </c>
      <c r="G338" s="49">
        <f t="shared" si="70"/>
        <v>0</v>
      </c>
      <c r="H338" s="49">
        <f t="shared" si="71"/>
        <v>0</v>
      </c>
      <c r="I338" s="49">
        <f t="shared" si="72"/>
        <v>0</v>
      </c>
      <c r="J338" s="49">
        <f t="shared" si="73"/>
        <v>0</v>
      </c>
      <c r="K338" s="49">
        <f t="shared" si="74"/>
        <v>0</v>
      </c>
      <c r="L338" s="49">
        <f t="shared" si="75"/>
        <v>0</v>
      </c>
      <c r="M338" s="49">
        <f t="shared" si="76"/>
        <v>0</v>
      </c>
      <c r="N338" s="29" t="str">
        <f t="shared" si="66"/>
        <v/>
      </c>
      <c r="O338" s="29">
        <f t="shared" si="67"/>
        <v>0</v>
      </c>
      <c r="P338" s="29">
        <f t="shared" si="68"/>
        <v>0</v>
      </c>
      <c r="Q338" s="29">
        <f>IF(A338&lt;&gt;"",SUM(F$2:F338),Q337)</f>
        <v>8</v>
      </c>
      <c r="R338" s="30">
        <f t="shared" si="77"/>
        <v>0</v>
      </c>
    </row>
    <row r="339" spans="1:18" x14ac:dyDescent="0.25">
      <c r="A339" s="27" t="str">
        <f>IF('Data Sheet'!A339="","",'Data Sheet'!A339)</f>
        <v/>
      </c>
      <c r="B339" s="28" t="str">
        <f>IF('Data Sheet'!B339="","",'Data Sheet'!B339)</f>
        <v/>
      </c>
      <c r="C339" s="28" t="str">
        <f>IF('Data Sheet'!C339="","",'Data Sheet'!C339)</f>
        <v/>
      </c>
      <c r="D339" s="28" t="str">
        <f>IF('Data Sheet'!D339="","",'Data Sheet'!D339)</f>
        <v/>
      </c>
      <c r="E339" s="29" t="str">
        <f t="shared" si="69"/>
        <v>C</v>
      </c>
      <c r="F339" s="51">
        <v>0</v>
      </c>
      <c r="G339" s="49">
        <f t="shared" si="70"/>
        <v>0</v>
      </c>
      <c r="H339" s="49">
        <f t="shared" si="71"/>
        <v>0</v>
      </c>
      <c r="I339" s="49">
        <f t="shared" si="72"/>
        <v>0</v>
      </c>
      <c r="J339" s="49">
        <f t="shared" si="73"/>
        <v>0</v>
      </c>
      <c r="K339" s="49">
        <f t="shared" si="74"/>
        <v>0</v>
      </c>
      <c r="L339" s="49">
        <f t="shared" si="75"/>
        <v>0</v>
      </c>
      <c r="M339" s="49">
        <f t="shared" si="76"/>
        <v>0</v>
      </c>
      <c r="N339" s="29" t="str">
        <f t="shared" si="66"/>
        <v/>
      </c>
      <c r="O339" s="29">
        <f t="shared" si="67"/>
        <v>0</v>
      </c>
      <c r="P339" s="29">
        <f t="shared" si="68"/>
        <v>0</v>
      </c>
      <c r="Q339" s="29">
        <f>IF(A339&lt;&gt;"",SUM(F$2:F339),Q338)</f>
        <v>8</v>
      </c>
      <c r="R339" s="30">
        <f t="shared" si="77"/>
        <v>0</v>
      </c>
    </row>
    <row r="340" spans="1:18" x14ac:dyDescent="0.25">
      <c r="A340" s="27" t="str">
        <f>IF('Data Sheet'!A340="","",'Data Sheet'!A340)</f>
        <v/>
      </c>
      <c r="B340" s="28" t="str">
        <f>IF('Data Sheet'!B340="","",'Data Sheet'!B340)</f>
        <v/>
      </c>
      <c r="C340" s="28" t="str">
        <f>IF('Data Sheet'!C340="","",'Data Sheet'!C340)</f>
        <v/>
      </c>
      <c r="D340" s="28" t="str">
        <f>IF('Data Sheet'!D340="","",'Data Sheet'!D340)</f>
        <v/>
      </c>
      <c r="E340" s="29" t="str">
        <f t="shared" si="69"/>
        <v>C</v>
      </c>
      <c r="F340" s="51">
        <v>0</v>
      </c>
      <c r="G340" s="49">
        <f t="shared" si="70"/>
        <v>0</v>
      </c>
      <c r="H340" s="49">
        <f t="shared" si="71"/>
        <v>0</v>
      </c>
      <c r="I340" s="49">
        <f t="shared" si="72"/>
        <v>0</v>
      </c>
      <c r="J340" s="49">
        <f t="shared" si="73"/>
        <v>0</v>
      </c>
      <c r="K340" s="49">
        <f t="shared" si="74"/>
        <v>0</v>
      </c>
      <c r="L340" s="49">
        <f t="shared" si="75"/>
        <v>0</v>
      </c>
      <c r="M340" s="49">
        <f t="shared" si="76"/>
        <v>0</v>
      </c>
      <c r="N340" s="29" t="str">
        <f t="shared" si="66"/>
        <v/>
      </c>
      <c r="O340" s="29">
        <f t="shared" si="67"/>
        <v>0</v>
      </c>
      <c r="P340" s="29">
        <f t="shared" si="68"/>
        <v>0</v>
      </c>
      <c r="Q340" s="29">
        <f>IF(A340&lt;&gt;"",SUM(F$2:F340),Q339)</f>
        <v>8</v>
      </c>
      <c r="R340" s="30">
        <f t="shared" si="77"/>
        <v>0</v>
      </c>
    </row>
    <row r="341" spans="1:18" x14ac:dyDescent="0.25">
      <c r="A341" s="27" t="str">
        <f>IF('Data Sheet'!A341="","",'Data Sheet'!A341)</f>
        <v/>
      </c>
      <c r="B341" s="28" t="str">
        <f>IF('Data Sheet'!B341="","",'Data Sheet'!B341)</f>
        <v/>
      </c>
      <c r="C341" s="28" t="str">
        <f>IF('Data Sheet'!C341="","",'Data Sheet'!C341)</f>
        <v/>
      </c>
      <c r="D341" s="28" t="str">
        <f>IF('Data Sheet'!D341="","",'Data Sheet'!D341)</f>
        <v/>
      </c>
      <c r="E341" s="29" t="str">
        <f t="shared" si="69"/>
        <v>C</v>
      </c>
      <c r="F341" s="51">
        <v>0</v>
      </c>
      <c r="G341" s="49">
        <f t="shared" si="70"/>
        <v>0</v>
      </c>
      <c r="H341" s="49">
        <f t="shared" si="71"/>
        <v>0</v>
      </c>
      <c r="I341" s="49">
        <f t="shared" si="72"/>
        <v>0</v>
      </c>
      <c r="J341" s="49">
        <f t="shared" si="73"/>
        <v>0</v>
      </c>
      <c r="K341" s="49">
        <f t="shared" si="74"/>
        <v>0</v>
      </c>
      <c r="L341" s="49">
        <f t="shared" si="75"/>
        <v>0</v>
      </c>
      <c r="M341" s="49">
        <f t="shared" si="76"/>
        <v>0</v>
      </c>
      <c r="N341" s="29" t="str">
        <f t="shared" si="66"/>
        <v/>
      </c>
      <c r="O341" s="29">
        <f t="shared" si="67"/>
        <v>0</v>
      </c>
      <c r="P341" s="29">
        <f t="shared" si="68"/>
        <v>0</v>
      </c>
      <c r="Q341" s="29">
        <f>IF(A341&lt;&gt;"",SUM(F$2:F341),Q340)</f>
        <v>8</v>
      </c>
      <c r="R341" s="30">
        <f t="shared" si="77"/>
        <v>0</v>
      </c>
    </row>
    <row r="342" spans="1:18" x14ac:dyDescent="0.25">
      <c r="A342" s="27" t="str">
        <f>IF('Data Sheet'!A342="","",'Data Sheet'!A342)</f>
        <v/>
      </c>
      <c r="B342" s="28" t="str">
        <f>IF('Data Sheet'!B342="","",'Data Sheet'!B342)</f>
        <v/>
      </c>
      <c r="C342" s="28" t="str">
        <f>IF('Data Sheet'!C342="","",'Data Sheet'!C342)</f>
        <v/>
      </c>
      <c r="D342" s="28" t="str">
        <f>IF('Data Sheet'!D342="","",'Data Sheet'!D342)</f>
        <v/>
      </c>
      <c r="E342" s="29" t="str">
        <f t="shared" si="69"/>
        <v>C</v>
      </c>
      <c r="F342" s="51">
        <v>0</v>
      </c>
      <c r="G342" s="49">
        <f t="shared" si="70"/>
        <v>0</v>
      </c>
      <c r="H342" s="49">
        <f t="shared" si="71"/>
        <v>0</v>
      </c>
      <c r="I342" s="49">
        <f t="shared" si="72"/>
        <v>0</v>
      </c>
      <c r="J342" s="49">
        <f t="shared" si="73"/>
        <v>0</v>
      </c>
      <c r="K342" s="49">
        <f t="shared" si="74"/>
        <v>0</v>
      </c>
      <c r="L342" s="49">
        <f t="shared" si="75"/>
        <v>0</v>
      </c>
      <c r="M342" s="49">
        <f t="shared" si="76"/>
        <v>0</v>
      </c>
      <c r="N342" s="29" t="str">
        <f t="shared" si="66"/>
        <v/>
      </c>
      <c r="O342" s="29">
        <f t="shared" si="67"/>
        <v>0</v>
      </c>
      <c r="P342" s="29">
        <f t="shared" si="68"/>
        <v>0</v>
      </c>
      <c r="Q342" s="29">
        <f>IF(A342&lt;&gt;"",SUM(F$2:F342),Q341)</f>
        <v>8</v>
      </c>
      <c r="R342" s="30">
        <f t="shared" si="77"/>
        <v>0</v>
      </c>
    </row>
    <row r="343" spans="1:18" x14ac:dyDescent="0.25">
      <c r="A343" s="27" t="str">
        <f>IF('Data Sheet'!A343="","",'Data Sheet'!A343)</f>
        <v/>
      </c>
      <c r="B343" s="28" t="str">
        <f>IF('Data Sheet'!B343="","",'Data Sheet'!B343)</f>
        <v/>
      </c>
      <c r="C343" s="28" t="str">
        <f>IF('Data Sheet'!C343="","",'Data Sheet'!C343)</f>
        <v/>
      </c>
      <c r="D343" s="28" t="str">
        <f>IF('Data Sheet'!D343="","",'Data Sheet'!D343)</f>
        <v/>
      </c>
      <c r="E343" s="29" t="str">
        <f t="shared" si="69"/>
        <v>C</v>
      </c>
      <c r="F343" s="51">
        <v>0</v>
      </c>
      <c r="G343" s="49">
        <f t="shared" si="70"/>
        <v>0</v>
      </c>
      <c r="H343" s="49">
        <f t="shared" si="71"/>
        <v>0</v>
      </c>
      <c r="I343" s="49">
        <f t="shared" si="72"/>
        <v>0</v>
      </c>
      <c r="J343" s="49">
        <f t="shared" si="73"/>
        <v>0</v>
      </c>
      <c r="K343" s="49">
        <f t="shared" si="74"/>
        <v>0</v>
      </c>
      <c r="L343" s="49">
        <f t="shared" si="75"/>
        <v>0</v>
      </c>
      <c r="M343" s="49">
        <f t="shared" si="76"/>
        <v>0</v>
      </c>
      <c r="N343" s="29" t="str">
        <f t="shared" si="66"/>
        <v/>
      </c>
      <c r="O343" s="29">
        <f t="shared" si="67"/>
        <v>0</v>
      </c>
      <c r="P343" s="29">
        <f t="shared" si="68"/>
        <v>0</v>
      </c>
      <c r="Q343" s="29">
        <f>IF(A343&lt;&gt;"",SUM(F$2:F343),Q342)</f>
        <v>8</v>
      </c>
      <c r="R343" s="30">
        <f t="shared" si="77"/>
        <v>0</v>
      </c>
    </row>
    <row r="344" spans="1:18" x14ac:dyDescent="0.25">
      <c r="A344" s="27" t="str">
        <f>IF('Data Sheet'!A344="","",'Data Sheet'!A344)</f>
        <v/>
      </c>
      <c r="B344" s="28" t="str">
        <f>IF('Data Sheet'!B344="","",'Data Sheet'!B344)</f>
        <v/>
      </c>
      <c r="C344" s="28" t="str">
        <f>IF('Data Sheet'!C344="","",'Data Sheet'!C344)</f>
        <v/>
      </c>
      <c r="D344" s="28" t="str">
        <f>IF('Data Sheet'!D344="","",'Data Sheet'!D344)</f>
        <v/>
      </c>
      <c r="E344" s="29" t="str">
        <f t="shared" si="69"/>
        <v>C</v>
      </c>
      <c r="F344" s="51">
        <v>0</v>
      </c>
      <c r="G344" s="49">
        <f t="shared" si="70"/>
        <v>0</v>
      </c>
      <c r="H344" s="49">
        <f t="shared" si="71"/>
        <v>0</v>
      </c>
      <c r="I344" s="49">
        <f t="shared" si="72"/>
        <v>0</v>
      </c>
      <c r="J344" s="49">
        <f t="shared" si="73"/>
        <v>0</v>
      </c>
      <c r="K344" s="49">
        <f t="shared" si="74"/>
        <v>0</v>
      </c>
      <c r="L344" s="49">
        <f t="shared" si="75"/>
        <v>0</v>
      </c>
      <c r="M344" s="49">
        <f t="shared" si="76"/>
        <v>0</v>
      </c>
      <c r="N344" s="29" t="str">
        <f t="shared" si="66"/>
        <v/>
      </c>
      <c r="O344" s="29">
        <f t="shared" si="67"/>
        <v>0</v>
      </c>
      <c r="P344" s="29">
        <f t="shared" si="68"/>
        <v>0</v>
      </c>
      <c r="Q344" s="29">
        <f>IF(A344&lt;&gt;"",SUM(F$2:F344),Q343)</f>
        <v>8</v>
      </c>
      <c r="R344" s="30">
        <f t="shared" si="77"/>
        <v>0</v>
      </c>
    </row>
    <row r="345" spans="1:18" x14ac:dyDescent="0.25">
      <c r="A345" s="27" t="str">
        <f>IF('Data Sheet'!A345="","",'Data Sheet'!A345)</f>
        <v/>
      </c>
      <c r="B345" s="28" t="str">
        <f>IF('Data Sheet'!B345="","",'Data Sheet'!B345)</f>
        <v/>
      </c>
      <c r="C345" s="28" t="str">
        <f>IF('Data Sheet'!C345="","",'Data Sheet'!C345)</f>
        <v/>
      </c>
      <c r="D345" s="28" t="str">
        <f>IF('Data Sheet'!D345="","",'Data Sheet'!D345)</f>
        <v/>
      </c>
      <c r="E345" s="29" t="str">
        <f t="shared" si="69"/>
        <v>C</v>
      </c>
      <c r="F345" s="51">
        <v>0</v>
      </c>
      <c r="G345" s="49">
        <f t="shared" si="70"/>
        <v>0</v>
      </c>
      <c r="H345" s="49">
        <f t="shared" si="71"/>
        <v>0</v>
      </c>
      <c r="I345" s="49">
        <f t="shared" si="72"/>
        <v>0</v>
      </c>
      <c r="J345" s="49">
        <f t="shared" si="73"/>
        <v>0</v>
      </c>
      <c r="K345" s="49">
        <f t="shared" si="74"/>
        <v>0</v>
      </c>
      <c r="L345" s="49">
        <f t="shared" si="75"/>
        <v>0</v>
      </c>
      <c r="M345" s="49">
        <f t="shared" si="76"/>
        <v>0</v>
      </c>
      <c r="N345" s="29" t="str">
        <f t="shared" si="66"/>
        <v/>
      </c>
      <c r="O345" s="29">
        <f t="shared" si="67"/>
        <v>0</v>
      </c>
      <c r="P345" s="29">
        <f t="shared" si="68"/>
        <v>0</v>
      </c>
      <c r="Q345" s="29">
        <f>IF(A345&lt;&gt;"",SUM(F$2:F345),Q344)</f>
        <v>8</v>
      </c>
      <c r="R345" s="30">
        <f t="shared" si="77"/>
        <v>0</v>
      </c>
    </row>
    <row r="346" spans="1:18" x14ac:dyDescent="0.25">
      <c r="A346" s="27" t="str">
        <f>IF('Data Sheet'!A346="","",'Data Sheet'!A346)</f>
        <v/>
      </c>
      <c r="B346" s="28" t="str">
        <f>IF('Data Sheet'!B346="","",'Data Sheet'!B346)</f>
        <v/>
      </c>
      <c r="C346" s="28" t="str">
        <f>IF('Data Sheet'!C346="","",'Data Sheet'!C346)</f>
        <v/>
      </c>
      <c r="D346" s="28" t="str">
        <f>IF('Data Sheet'!D346="","",'Data Sheet'!D346)</f>
        <v/>
      </c>
      <c r="E346" s="29" t="str">
        <f t="shared" si="69"/>
        <v>C</v>
      </c>
      <c r="F346" s="51">
        <v>0</v>
      </c>
      <c r="G346" s="49">
        <f t="shared" si="70"/>
        <v>0</v>
      </c>
      <c r="H346" s="49">
        <f t="shared" si="71"/>
        <v>0</v>
      </c>
      <c r="I346" s="49">
        <f t="shared" si="72"/>
        <v>0</v>
      </c>
      <c r="J346" s="49">
        <f t="shared" si="73"/>
        <v>0</v>
      </c>
      <c r="K346" s="49">
        <f t="shared" si="74"/>
        <v>0</v>
      </c>
      <c r="L346" s="49">
        <f t="shared" si="75"/>
        <v>0</v>
      </c>
      <c r="M346" s="49">
        <f t="shared" si="76"/>
        <v>0</v>
      </c>
      <c r="N346" s="29" t="str">
        <f t="shared" si="66"/>
        <v/>
      </c>
      <c r="O346" s="29">
        <f t="shared" si="67"/>
        <v>0</v>
      </c>
      <c r="P346" s="29">
        <f t="shared" si="68"/>
        <v>0</v>
      </c>
      <c r="Q346" s="29">
        <f>IF(A346&lt;&gt;"",SUM(F$2:F346),Q345)</f>
        <v>8</v>
      </c>
      <c r="R346" s="30">
        <f t="shared" si="77"/>
        <v>0</v>
      </c>
    </row>
    <row r="347" spans="1:18" x14ac:dyDescent="0.25">
      <c r="A347" s="27" t="str">
        <f>IF('Data Sheet'!A347="","",'Data Sheet'!A347)</f>
        <v/>
      </c>
      <c r="B347" s="28" t="str">
        <f>IF('Data Sheet'!B347="","",'Data Sheet'!B347)</f>
        <v/>
      </c>
      <c r="C347" s="28" t="str">
        <f>IF('Data Sheet'!C347="","",'Data Sheet'!C347)</f>
        <v/>
      </c>
      <c r="D347" s="28" t="str">
        <f>IF('Data Sheet'!D347="","",'Data Sheet'!D347)</f>
        <v/>
      </c>
      <c r="E347" s="29" t="str">
        <f t="shared" si="69"/>
        <v>C</v>
      </c>
      <c r="F347" s="51">
        <v>0</v>
      </c>
      <c r="G347" s="49">
        <f t="shared" si="70"/>
        <v>0</v>
      </c>
      <c r="H347" s="49">
        <f t="shared" si="71"/>
        <v>0</v>
      </c>
      <c r="I347" s="49">
        <f t="shared" si="72"/>
        <v>0</v>
      </c>
      <c r="J347" s="49">
        <f t="shared" si="73"/>
        <v>0</v>
      </c>
      <c r="K347" s="49">
        <f t="shared" si="74"/>
        <v>0</v>
      </c>
      <c r="L347" s="49">
        <f t="shared" si="75"/>
        <v>0</v>
      </c>
      <c r="M347" s="49">
        <f t="shared" si="76"/>
        <v>0</v>
      </c>
      <c r="N347" s="29" t="str">
        <f t="shared" si="66"/>
        <v/>
      </c>
      <c r="O347" s="29">
        <f t="shared" si="67"/>
        <v>0</v>
      </c>
      <c r="P347" s="29">
        <f t="shared" si="68"/>
        <v>0</v>
      </c>
      <c r="Q347" s="29">
        <f>IF(A347&lt;&gt;"",SUM(F$2:F347),Q346)</f>
        <v>8</v>
      </c>
      <c r="R347" s="30">
        <f t="shared" si="77"/>
        <v>0</v>
      </c>
    </row>
    <row r="348" spans="1:18" x14ac:dyDescent="0.25">
      <c r="A348" s="27" t="str">
        <f>IF('Data Sheet'!A348="","",'Data Sheet'!A348)</f>
        <v/>
      </c>
      <c r="B348" s="28" t="str">
        <f>IF('Data Sheet'!B348="","",'Data Sheet'!B348)</f>
        <v/>
      </c>
      <c r="C348" s="28" t="str">
        <f>IF('Data Sheet'!C348="","",'Data Sheet'!C348)</f>
        <v/>
      </c>
      <c r="D348" s="28" t="str">
        <f>IF('Data Sheet'!D348="","",'Data Sheet'!D348)</f>
        <v/>
      </c>
      <c r="E348" s="29" t="str">
        <f t="shared" si="69"/>
        <v>C</v>
      </c>
      <c r="F348" s="51">
        <v>0</v>
      </c>
      <c r="G348" s="49">
        <f t="shared" si="70"/>
        <v>0</v>
      </c>
      <c r="H348" s="49">
        <f t="shared" si="71"/>
        <v>0</v>
      </c>
      <c r="I348" s="49">
        <f t="shared" si="72"/>
        <v>0</v>
      </c>
      <c r="J348" s="49">
        <f t="shared" si="73"/>
        <v>0</v>
      </c>
      <c r="K348" s="49">
        <f t="shared" si="74"/>
        <v>0</v>
      </c>
      <c r="L348" s="49">
        <f t="shared" si="75"/>
        <v>0</v>
      </c>
      <c r="M348" s="49">
        <f t="shared" si="76"/>
        <v>0</v>
      </c>
      <c r="N348" s="29" t="str">
        <f t="shared" si="66"/>
        <v/>
      </c>
      <c r="O348" s="29">
        <f t="shared" si="67"/>
        <v>0</v>
      </c>
      <c r="P348" s="29">
        <f t="shared" si="68"/>
        <v>0</v>
      </c>
      <c r="Q348" s="29">
        <f>IF(A348&lt;&gt;"",SUM(F$2:F348),Q347)</f>
        <v>8</v>
      </c>
      <c r="R348" s="30">
        <f t="shared" si="77"/>
        <v>0</v>
      </c>
    </row>
    <row r="349" spans="1:18" x14ac:dyDescent="0.25">
      <c r="A349" s="27" t="str">
        <f>IF('Data Sheet'!A349="","",'Data Sheet'!A349)</f>
        <v/>
      </c>
      <c r="B349" s="28" t="str">
        <f>IF('Data Sheet'!B349="","",'Data Sheet'!B349)</f>
        <v/>
      </c>
      <c r="C349" s="28" t="str">
        <f>IF('Data Sheet'!C349="","",'Data Sheet'!C349)</f>
        <v/>
      </c>
      <c r="D349" s="28" t="str">
        <f>IF('Data Sheet'!D349="","",'Data Sheet'!D349)</f>
        <v/>
      </c>
      <c r="E349" s="29" t="str">
        <f t="shared" si="69"/>
        <v>C</v>
      </c>
      <c r="F349" s="51">
        <v>0</v>
      </c>
      <c r="G349" s="49">
        <f t="shared" si="70"/>
        <v>0</v>
      </c>
      <c r="H349" s="49">
        <f t="shared" si="71"/>
        <v>0</v>
      </c>
      <c r="I349" s="49">
        <f t="shared" si="72"/>
        <v>0</v>
      </c>
      <c r="J349" s="49">
        <f t="shared" si="73"/>
        <v>0</v>
      </c>
      <c r="K349" s="49">
        <f t="shared" si="74"/>
        <v>0</v>
      </c>
      <c r="L349" s="49">
        <f t="shared" si="75"/>
        <v>0</v>
      </c>
      <c r="M349" s="49">
        <f t="shared" si="76"/>
        <v>0</v>
      </c>
      <c r="N349" s="29" t="str">
        <f t="shared" si="66"/>
        <v/>
      </c>
      <c r="O349" s="29">
        <f t="shared" si="67"/>
        <v>0</v>
      </c>
      <c r="P349" s="29">
        <f t="shared" si="68"/>
        <v>0</v>
      </c>
      <c r="Q349" s="29">
        <f>IF(A349&lt;&gt;"",SUM(F$2:F349),Q348)</f>
        <v>8</v>
      </c>
      <c r="R349" s="30">
        <f t="shared" si="77"/>
        <v>0</v>
      </c>
    </row>
    <row r="350" spans="1:18" x14ac:dyDescent="0.25">
      <c r="A350" s="27" t="str">
        <f>IF('Data Sheet'!A350="","",'Data Sheet'!A350)</f>
        <v/>
      </c>
      <c r="B350" s="28" t="str">
        <f>IF('Data Sheet'!B350="","",'Data Sheet'!B350)</f>
        <v/>
      </c>
      <c r="C350" s="28" t="str">
        <f>IF('Data Sheet'!C350="","",'Data Sheet'!C350)</f>
        <v/>
      </c>
      <c r="D350" s="28" t="str">
        <f>IF('Data Sheet'!D350="","",'Data Sheet'!D350)</f>
        <v/>
      </c>
      <c r="E350" s="29" t="str">
        <f t="shared" si="69"/>
        <v>C</v>
      </c>
      <c r="F350" s="51">
        <v>0</v>
      </c>
      <c r="G350" s="49">
        <f t="shared" si="70"/>
        <v>0</v>
      </c>
      <c r="H350" s="49">
        <f t="shared" si="71"/>
        <v>0</v>
      </c>
      <c r="I350" s="49">
        <f t="shared" si="72"/>
        <v>0</v>
      </c>
      <c r="J350" s="49">
        <f t="shared" si="73"/>
        <v>0</v>
      </c>
      <c r="K350" s="49">
        <f t="shared" si="74"/>
        <v>0</v>
      </c>
      <c r="L350" s="49">
        <f t="shared" si="75"/>
        <v>0</v>
      </c>
      <c r="M350" s="49">
        <f t="shared" si="76"/>
        <v>0</v>
      </c>
      <c r="N350" s="29" t="str">
        <f t="shared" si="66"/>
        <v/>
      </c>
      <c r="O350" s="29">
        <f t="shared" si="67"/>
        <v>0</v>
      </c>
      <c r="P350" s="29">
        <f t="shared" si="68"/>
        <v>0</v>
      </c>
      <c r="Q350" s="29">
        <f>IF(A350&lt;&gt;"",SUM(F$2:F350),Q349)</f>
        <v>8</v>
      </c>
      <c r="R350" s="30">
        <f t="shared" si="77"/>
        <v>0</v>
      </c>
    </row>
    <row r="351" spans="1:18" x14ac:dyDescent="0.25">
      <c r="A351" s="27" t="str">
        <f>IF('Data Sheet'!A351="","",'Data Sheet'!A351)</f>
        <v/>
      </c>
      <c r="B351" s="28" t="str">
        <f>IF('Data Sheet'!B351="","",'Data Sheet'!B351)</f>
        <v/>
      </c>
      <c r="C351" s="28" t="str">
        <f>IF('Data Sheet'!C351="","",'Data Sheet'!C351)</f>
        <v/>
      </c>
      <c r="D351" s="28" t="str">
        <f>IF('Data Sheet'!D351="","",'Data Sheet'!D351)</f>
        <v/>
      </c>
      <c r="E351" s="29" t="str">
        <f t="shared" si="69"/>
        <v>C</v>
      </c>
      <c r="F351" s="51">
        <v>0</v>
      </c>
      <c r="G351" s="49">
        <f t="shared" si="70"/>
        <v>0</v>
      </c>
      <c r="H351" s="49">
        <f t="shared" si="71"/>
        <v>0</v>
      </c>
      <c r="I351" s="49">
        <f t="shared" si="72"/>
        <v>0</v>
      </c>
      <c r="J351" s="49">
        <f t="shared" si="73"/>
        <v>0</v>
      </c>
      <c r="K351" s="49">
        <f t="shared" si="74"/>
        <v>0</v>
      </c>
      <c r="L351" s="49">
        <f t="shared" si="75"/>
        <v>0</v>
      </c>
      <c r="M351" s="49">
        <f t="shared" si="76"/>
        <v>0</v>
      </c>
      <c r="N351" s="29" t="str">
        <f t="shared" si="66"/>
        <v/>
      </c>
      <c r="O351" s="29">
        <f t="shared" si="67"/>
        <v>0</v>
      </c>
      <c r="P351" s="29">
        <f t="shared" si="68"/>
        <v>0</v>
      </c>
      <c r="Q351" s="29">
        <f>IF(A351&lt;&gt;"",SUM(F$2:F351),Q350)</f>
        <v>8</v>
      </c>
      <c r="R351" s="30">
        <f t="shared" si="77"/>
        <v>0</v>
      </c>
    </row>
    <row r="352" spans="1:18" x14ac:dyDescent="0.25">
      <c r="A352" s="27" t="str">
        <f>IF('Data Sheet'!A352="","",'Data Sheet'!A352)</f>
        <v/>
      </c>
      <c r="B352" s="28" t="str">
        <f>IF('Data Sheet'!B352="","",'Data Sheet'!B352)</f>
        <v/>
      </c>
      <c r="C352" s="28" t="str">
        <f>IF('Data Sheet'!C352="","",'Data Sheet'!C352)</f>
        <v/>
      </c>
      <c r="D352" s="28" t="str">
        <f>IF('Data Sheet'!D352="","",'Data Sheet'!D352)</f>
        <v/>
      </c>
      <c r="E352" s="29" t="str">
        <f t="shared" si="69"/>
        <v>C</v>
      </c>
      <c r="F352" s="51">
        <v>0</v>
      </c>
      <c r="G352" s="49">
        <f t="shared" si="70"/>
        <v>0</v>
      </c>
      <c r="H352" s="49">
        <f t="shared" si="71"/>
        <v>0</v>
      </c>
      <c r="I352" s="49">
        <f t="shared" si="72"/>
        <v>0</v>
      </c>
      <c r="J352" s="49">
        <f t="shared" si="73"/>
        <v>0</v>
      </c>
      <c r="K352" s="49">
        <f t="shared" si="74"/>
        <v>0</v>
      </c>
      <c r="L352" s="49">
        <f t="shared" si="75"/>
        <v>0</v>
      </c>
      <c r="M352" s="49">
        <f t="shared" si="76"/>
        <v>0</v>
      </c>
      <c r="N352" s="29" t="str">
        <f t="shared" si="66"/>
        <v/>
      </c>
      <c r="O352" s="29">
        <f t="shared" si="67"/>
        <v>0</v>
      </c>
      <c r="P352" s="29">
        <f t="shared" si="68"/>
        <v>0</v>
      </c>
      <c r="Q352" s="29">
        <f>IF(A352&lt;&gt;"",SUM(F$2:F352),Q351)</f>
        <v>8</v>
      </c>
      <c r="R352" s="30">
        <f t="shared" si="77"/>
        <v>0</v>
      </c>
    </row>
    <row r="353" spans="1:18" x14ac:dyDescent="0.25">
      <c r="A353" s="27" t="str">
        <f>IF('Data Sheet'!A353="","",'Data Sheet'!A353)</f>
        <v/>
      </c>
      <c r="B353" s="28" t="str">
        <f>IF('Data Sheet'!B353="","",'Data Sheet'!B353)</f>
        <v/>
      </c>
      <c r="C353" s="28" t="str">
        <f>IF('Data Sheet'!C353="","",'Data Sheet'!C353)</f>
        <v/>
      </c>
      <c r="D353" s="28" t="str">
        <f>IF('Data Sheet'!D353="","",'Data Sheet'!D353)</f>
        <v/>
      </c>
      <c r="E353" s="29" t="str">
        <f t="shared" si="69"/>
        <v>C</v>
      </c>
      <c r="F353" s="51">
        <v>0</v>
      </c>
      <c r="G353" s="49">
        <f t="shared" si="70"/>
        <v>0</v>
      </c>
      <c r="H353" s="49">
        <f t="shared" si="71"/>
        <v>0</v>
      </c>
      <c r="I353" s="49">
        <f t="shared" si="72"/>
        <v>0</v>
      </c>
      <c r="J353" s="49">
        <f t="shared" si="73"/>
        <v>0</v>
      </c>
      <c r="K353" s="49">
        <f t="shared" si="74"/>
        <v>0</v>
      </c>
      <c r="L353" s="49">
        <f t="shared" si="75"/>
        <v>0</v>
      </c>
      <c r="M353" s="49">
        <f t="shared" si="76"/>
        <v>0</v>
      </c>
      <c r="N353" s="29" t="str">
        <f t="shared" si="66"/>
        <v/>
      </c>
      <c r="O353" s="29">
        <f t="shared" si="67"/>
        <v>0</v>
      </c>
      <c r="P353" s="29">
        <f t="shared" si="68"/>
        <v>0</v>
      </c>
      <c r="Q353" s="29">
        <f>IF(A353&lt;&gt;"",SUM(F$2:F353),Q352)</f>
        <v>8</v>
      </c>
      <c r="R353" s="30">
        <f t="shared" si="77"/>
        <v>0</v>
      </c>
    </row>
    <row r="354" spans="1:18" x14ac:dyDescent="0.25">
      <c r="A354" s="27" t="str">
        <f>IF('Data Sheet'!A354="","",'Data Sheet'!A354)</f>
        <v/>
      </c>
      <c r="B354" s="28" t="str">
        <f>IF('Data Sheet'!B354="","",'Data Sheet'!B354)</f>
        <v/>
      </c>
      <c r="C354" s="28" t="str">
        <f>IF('Data Sheet'!C354="","",'Data Sheet'!C354)</f>
        <v/>
      </c>
      <c r="D354" s="28" t="str">
        <f>IF('Data Sheet'!D354="","",'Data Sheet'!D354)</f>
        <v/>
      </c>
      <c r="E354" s="29" t="str">
        <f t="shared" si="69"/>
        <v>C</v>
      </c>
      <c r="F354" s="51">
        <v>0</v>
      </c>
      <c r="G354" s="49">
        <f t="shared" si="70"/>
        <v>0</v>
      </c>
      <c r="H354" s="49">
        <f t="shared" si="71"/>
        <v>0</v>
      </c>
      <c r="I354" s="49">
        <f t="shared" si="72"/>
        <v>0</v>
      </c>
      <c r="J354" s="49">
        <f t="shared" si="73"/>
        <v>0</v>
      </c>
      <c r="K354" s="49">
        <f t="shared" si="74"/>
        <v>0</v>
      </c>
      <c r="L354" s="49">
        <f t="shared" si="75"/>
        <v>0</v>
      </c>
      <c r="M354" s="49">
        <f t="shared" si="76"/>
        <v>0</v>
      </c>
      <c r="N354" s="29" t="str">
        <f t="shared" si="66"/>
        <v/>
      </c>
      <c r="O354" s="29">
        <f t="shared" si="67"/>
        <v>0</v>
      </c>
      <c r="P354" s="29">
        <f t="shared" si="68"/>
        <v>0</v>
      </c>
      <c r="Q354" s="29">
        <f>IF(A354&lt;&gt;"",SUM(F$2:F354),Q353)</f>
        <v>8</v>
      </c>
      <c r="R354" s="30">
        <f t="shared" si="77"/>
        <v>0</v>
      </c>
    </row>
    <row r="355" spans="1:18" x14ac:dyDescent="0.25">
      <c r="A355" s="27" t="str">
        <f>IF('Data Sheet'!A355="","",'Data Sheet'!A355)</f>
        <v/>
      </c>
      <c r="B355" s="28" t="str">
        <f>IF('Data Sheet'!B355="","",'Data Sheet'!B355)</f>
        <v/>
      </c>
      <c r="C355" s="28" t="str">
        <f>IF('Data Sheet'!C355="","",'Data Sheet'!C355)</f>
        <v/>
      </c>
      <c r="D355" s="28" t="str">
        <f>IF('Data Sheet'!D355="","",'Data Sheet'!D355)</f>
        <v/>
      </c>
      <c r="E355" s="29" t="str">
        <f t="shared" si="69"/>
        <v>C</v>
      </c>
      <c r="F355" s="51">
        <v>0</v>
      </c>
      <c r="G355" s="49">
        <f t="shared" si="70"/>
        <v>0</v>
      </c>
      <c r="H355" s="49">
        <f t="shared" si="71"/>
        <v>0</v>
      </c>
      <c r="I355" s="49">
        <f t="shared" si="72"/>
        <v>0</v>
      </c>
      <c r="J355" s="49">
        <f t="shared" si="73"/>
        <v>0</v>
      </c>
      <c r="K355" s="49">
        <f t="shared" si="74"/>
        <v>0</v>
      </c>
      <c r="L355" s="49">
        <f t="shared" si="75"/>
        <v>0</v>
      </c>
      <c r="M355" s="49">
        <f t="shared" si="76"/>
        <v>0</v>
      </c>
      <c r="N355" s="29" t="str">
        <f t="shared" si="66"/>
        <v/>
      </c>
      <c r="O355" s="29">
        <f t="shared" si="67"/>
        <v>0</v>
      </c>
      <c r="P355" s="29">
        <f t="shared" si="68"/>
        <v>0</v>
      </c>
      <c r="Q355" s="29">
        <f>IF(A355&lt;&gt;"",SUM(F$2:F355),Q354)</f>
        <v>8</v>
      </c>
      <c r="R355" s="30">
        <f t="shared" si="77"/>
        <v>0</v>
      </c>
    </row>
    <row r="356" spans="1:18" x14ac:dyDescent="0.25">
      <c r="A356" s="27" t="str">
        <f>IF('Data Sheet'!A356="","",'Data Sheet'!A356)</f>
        <v/>
      </c>
      <c r="B356" s="28" t="str">
        <f>IF('Data Sheet'!B356="","",'Data Sheet'!B356)</f>
        <v/>
      </c>
      <c r="C356" s="28" t="str">
        <f>IF('Data Sheet'!C356="","",'Data Sheet'!C356)</f>
        <v/>
      </c>
      <c r="D356" s="28" t="str">
        <f>IF('Data Sheet'!D356="","",'Data Sheet'!D356)</f>
        <v/>
      </c>
      <c r="E356" s="29" t="str">
        <f t="shared" si="69"/>
        <v>C</v>
      </c>
      <c r="F356" s="51">
        <v>0</v>
      </c>
      <c r="G356" s="49">
        <f t="shared" si="70"/>
        <v>0</v>
      </c>
      <c r="H356" s="49">
        <f t="shared" si="71"/>
        <v>0</v>
      </c>
      <c r="I356" s="49">
        <f t="shared" si="72"/>
        <v>0</v>
      </c>
      <c r="J356" s="49">
        <f t="shared" si="73"/>
        <v>0</v>
      </c>
      <c r="K356" s="49">
        <f t="shared" si="74"/>
        <v>0</v>
      </c>
      <c r="L356" s="49">
        <f t="shared" si="75"/>
        <v>0</v>
      </c>
      <c r="M356" s="49">
        <f t="shared" si="76"/>
        <v>0</v>
      </c>
      <c r="N356" s="29" t="str">
        <f t="shared" si="66"/>
        <v/>
      </c>
      <c r="O356" s="29">
        <f t="shared" si="67"/>
        <v>0</v>
      </c>
      <c r="P356" s="29">
        <f t="shared" si="68"/>
        <v>0</v>
      </c>
      <c r="Q356" s="29">
        <f>IF(A356&lt;&gt;"",SUM(F$2:F356),Q355)</f>
        <v>8</v>
      </c>
      <c r="R356" s="30">
        <f t="shared" si="77"/>
        <v>0</v>
      </c>
    </row>
    <row r="357" spans="1:18" x14ac:dyDescent="0.25">
      <c r="A357" s="27" t="str">
        <f>IF('Data Sheet'!A357="","",'Data Sheet'!A357)</f>
        <v/>
      </c>
      <c r="B357" s="28" t="str">
        <f>IF('Data Sheet'!B357="","",'Data Sheet'!B357)</f>
        <v/>
      </c>
      <c r="C357" s="28" t="str">
        <f>IF('Data Sheet'!C357="","",'Data Sheet'!C357)</f>
        <v/>
      </c>
      <c r="D357" s="28" t="str">
        <f>IF('Data Sheet'!D357="","",'Data Sheet'!D357)</f>
        <v/>
      </c>
      <c r="E357" s="29" t="str">
        <f t="shared" si="69"/>
        <v>C</v>
      </c>
      <c r="F357" s="51">
        <v>0</v>
      </c>
      <c r="G357" s="49">
        <f t="shared" si="70"/>
        <v>0</v>
      </c>
      <c r="H357" s="49">
        <f t="shared" si="71"/>
        <v>0</v>
      </c>
      <c r="I357" s="49">
        <f t="shared" si="72"/>
        <v>0</v>
      </c>
      <c r="J357" s="49">
        <f t="shared" si="73"/>
        <v>0</v>
      </c>
      <c r="K357" s="49">
        <f t="shared" si="74"/>
        <v>0</v>
      </c>
      <c r="L357" s="49">
        <f t="shared" si="75"/>
        <v>0</v>
      </c>
      <c r="M357" s="49">
        <f t="shared" si="76"/>
        <v>0</v>
      </c>
      <c r="N357" s="29" t="str">
        <f t="shared" si="66"/>
        <v/>
      </c>
      <c r="O357" s="29">
        <f t="shared" si="67"/>
        <v>0</v>
      </c>
      <c r="P357" s="29">
        <f t="shared" si="68"/>
        <v>0</v>
      </c>
      <c r="Q357" s="29">
        <f>IF(A357&lt;&gt;"",SUM(F$2:F357),Q356)</f>
        <v>8</v>
      </c>
      <c r="R357" s="30">
        <f t="shared" si="77"/>
        <v>0</v>
      </c>
    </row>
    <row r="358" spans="1:18" x14ac:dyDescent="0.25">
      <c r="A358" s="27" t="str">
        <f>IF('Data Sheet'!A358="","",'Data Sheet'!A358)</f>
        <v/>
      </c>
      <c r="B358" s="28" t="str">
        <f>IF('Data Sheet'!B358="","",'Data Sheet'!B358)</f>
        <v/>
      </c>
      <c r="C358" s="28" t="str">
        <f>IF('Data Sheet'!C358="","",'Data Sheet'!C358)</f>
        <v/>
      </c>
      <c r="D358" s="28" t="str">
        <f>IF('Data Sheet'!D358="","",'Data Sheet'!D358)</f>
        <v/>
      </c>
      <c r="E358" s="29" t="str">
        <f t="shared" si="69"/>
        <v>C</v>
      </c>
      <c r="F358" s="51">
        <v>0</v>
      </c>
      <c r="G358" s="49">
        <f t="shared" si="70"/>
        <v>0</v>
      </c>
      <c r="H358" s="49">
        <f t="shared" si="71"/>
        <v>0</v>
      </c>
      <c r="I358" s="49">
        <f t="shared" si="72"/>
        <v>0</v>
      </c>
      <c r="J358" s="49">
        <f t="shared" si="73"/>
        <v>0</v>
      </c>
      <c r="K358" s="49">
        <f t="shared" si="74"/>
        <v>0</v>
      </c>
      <c r="L358" s="49">
        <f t="shared" si="75"/>
        <v>0</v>
      </c>
      <c r="M358" s="49">
        <f t="shared" si="76"/>
        <v>0</v>
      </c>
      <c r="N358" s="29" t="str">
        <f t="shared" si="66"/>
        <v/>
      </c>
      <c r="O358" s="29">
        <f t="shared" si="67"/>
        <v>0</v>
      </c>
      <c r="P358" s="29">
        <f t="shared" si="68"/>
        <v>0</v>
      </c>
      <c r="Q358" s="29">
        <f>IF(A358&lt;&gt;"",SUM(F$2:F358),Q357)</f>
        <v>8</v>
      </c>
      <c r="R358" s="30">
        <f t="shared" si="77"/>
        <v>0</v>
      </c>
    </row>
    <row r="359" spans="1:18" x14ac:dyDescent="0.25">
      <c r="A359" s="27" t="str">
        <f>IF('Data Sheet'!A359="","",'Data Sheet'!A359)</f>
        <v/>
      </c>
      <c r="B359" s="28" t="str">
        <f>IF('Data Sheet'!B359="","",'Data Sheet'!B359)</f>
        <v/>
      </c>
      <c r="C359" s="28" t="str">
        <f>IF('Data Sheet'!C359="","",'Data Sheet'!C359)</f>
        <v/>
      </c>
      <c r="D359" s="28" t="str">
        <f>IF('Data Sheet'!D359="","",'Data Sheet'!D359)</f>
        <v/>
      </c>
      <c r="E359" s="29" t="str">
        <f t="shared" si="69"/>
        <v>C</v>
      </c>
      <c r="F359" s="51">
        <v>0</v>
      </c>
      <c r="G359" s="49">
        <f t="shared" si="70"/>
        <v>0</v>
      </c>
      <c r="H359" s="49">
        <f t="shared" si="71"/>
        <v>0</v>
      </c>
      <c r="I359" s="49">
        <f t="shared" si="72"/>
        <v>0</v>
      </c>
      <c r="J359" s="49">
        <f t="shared" si="73"/>
        <v>0</v>
      </c>
      <c r="K359" s="49">
        <f t="shared" si="74"/>
        <v>0</v>
      </c>
      <c r="L359" s="49">
        <f t="shared" si="75"/>
        <v>0</v>
      </c>
      <c r="M359" s="49">
        <f t="shared" si="76"/>
        <v>0</v>
      </c>
      <c r="N359" s="29" t="str">
        <f t="shared" si="66"/>
        <v/>
      </c>
      <c r="O359" s="29">
        <f t="shared" si="67"/>
        <v>0</v>
      </c>
      <c r="P359" s="29">
        <f t="shared" si="68"/>
        <v>0</v>
      </c>
      <c r="Q359" s="29">
        <f>IF(A359&lt;&gt;"",SUM(F$2:F359),Q358)</f>
        <v>8</v>
      </c>
      <c r="R359" s="30">
        <f t="shared" si="77"/>
        <v>0</v>
      </c>
    </row>
    <row r="360" spans="1:18" x14ac:dyDescent="0.25">
      <c r="A360" s="27" t="str">
        <f>IF('Data Sheet'!A360="","",'Data Sheet'!A360)</f>
        <v/>
      </c>
      <c r="B360" s="28" t="str">
        <f>IF('Data Sheet'!B360="","",'Data Sheet'!B360)</f>
        <v/>
      </c>
      <c r="C360" s="28" t="str">
        <f>IF('Data Sheet'!C360="","",'Data Sheet'!C360)</f>
        <v/>
      </c>
      <c r="D360" s="28" t="str">
        <f>IF('Data Sheet'!D360="","",'Data Sheet'!D360)</f>
        <v/>
      </c>
      <c r="E360" s="29" t="str">
        <f t="shared" si="69"/>
        <v>C</v>
      </c>
      <c r="F360" s="51">
        <v>0</v>
      </c>
      <c r="G360" s="49">
        <f t="shared" si="70"/>
        <v>0</v>
      </c>
      <c r="H360" s="49">
        <f t="shared" si="71"/>
        <v>0</v>
      </c>
      <c r="I360" s="49">
        <f t="shared" si="72"/>
        <v>0</v>
      </c>
      <c r="J360" s="49">
        <f t="shared" si="73"/>
        <v>0</v>
      </c>
      <c r="K360" s="49">
        <f t="shared" si="74"/>
        <v>0</v>
      </c>
      <c r="L360" s="49">
        <f t="shared" si="75"/>
        <v>0</v>
      </c>
      <c r="M360" s="49">
        <f t="shared" si="76"/>
        <v>0</v>
      </c>
      <c r="N360" s="29" t="str">
        <f t="shared" si="66"/>
        <v/>
      </c>
      <c r="O360" s="29">
        <f t="shared" si="67"/>
        <v>0</v>
      </c>
      <c r="P360" s="29">
        <f t="shared" si="68"/>
        <v>0</v>
      </c>
      <c r="Q360" s="29">
        <f>IF(A360&lt;&gt;"",SUM(F$2:F360),Q359)</f>
        <v>8</v>
      </c>
      <c r="R360" s="30">
        <f t="shared" si="77"/>
        <v>0</v>
      </c>
    </row>
    <row r="361" spans="1:18" x14ac:dyDescent="0.25">
      <c r="A361" s="27" t="str">
        <f>IF('Data Sheet'!A361="","",'Data Sheet'!A361)</f>
        <v/>
      </c>
      <c r="B361" s="28" t="str">
        <f>IF('Data Sheet'!B361="","",'Data Sheet'!B361)</f>
        <v/>
      </c>
      <c r="C361" s="28" t="str">
        <f>IF('Data Sheet'!C361="","",'Data Sheet'!C361)</f>
        <v/>
      </c>
      <c r="D361" s="28" t="str">
        <f>IF('Data Sheet'!D361="","",'Data Sheet'!D361)</f>
        <v/>
      </c>
      <c r="E361" s="29" t="str">
        <f t="shared" si="69"/>
        <v>C</v>
      </c>
      <c r="F361" s="51">
        <v>0</v>
      </c>
      <c r="G361" s="49">
        <f t="shared" si="70"/>
        <v>0</v>
      </c>
      <c r="H361" s="49">
        <f t="shared" si="71"/>
        <v>0</v>
      </c>
      <c r="I361" s="49">
        <f t="shared" si="72"/>
        <v>0</v>
      </c>
      <c r="J361" s="49">
        <f t="shared" si="73"/>
        <v>0</v>
      </c>
      <c r="K361" s="49">
        <f t="shared" si="74"/>
        <v>0</v>
      </c>
      <c r="L361" s="49">
        <f t="shared" si="75"/>
        <v>0</v>
      </c>
      <c r="M361" s="49">
        <f t="shared" si="76"/>
        <v>0</v>
      </c>
      <c r="N361" s="29" t="str">
        <f t="shared" si="66"/>
        <v/>
      </c>
      <c r="O361" s="29">
        <f t="shared" si="67"/>
        <v>0</v>
      </c>
      <c r="P361" s="29">
        <f t="shared" si="68"/>
        <v>0</v>
      </c>
      <c r="Q361" s="29">
        <f>IF(A361&lt;&gt;"",SUM(F$2:F361),Q360)</f>
        <v>8</v>
      </c>
      <c r="R361" s="30">
        <f t="shared" si="77"/>
        <v>0</v>
      </c>
    </row>
    <row r="362" spans="1:18" x14ac:dyDescent="0.25">
      <c r="A362" s="27" t="str">
        <f>IF('Data Sheet'!A362="","",'Data Sheet'!A362)</f>
        <v/>
      </c>
      <c r="B362" s="28" t="str">
        <f>IF('Data Sheet'!B362="","",'Data Sheet'!B362)</f>
        <v/>
      </c>
      <c r="C362" s="28" t="str">
        <f>IF('Data Sheet'!C362="","",'Data Sheet'!C362)</f>
        <v/>
      </c>
      <c r="D362" s="28" t="str">
        <f>IF('Data Sheet'!D362="","",'Data Sheet'!D362)</f>
        <v/>
      </c>
      <c r="E362" s="29" t="str">
        <f t="shared" si="69"/>
        <v>C</v>
      </c>
      <c r="F362" s="51">
        <v>0</v>
      </c>
      <c r="G362" s="49">
        <f t="shared" si="70"/>
        <v>0</v>
      </c>
      <c r="H362" s="49">
        <f t="shared" si="71"/>
        <v>0</v>
      </c>
      <c r="I362" s="49">
        <f t="shared" si="72"/>
        <v>0</v>
      </c>
      <c r="J362" s="49">
        <f t="shared" si="73"/>
        <v>0</v>
      </c>
      <c r="K362" s="49">
        <f t="shared" si="74"/>
        <v>0</v>
      </c>
      <c r="L362" s="49">
        <f t="shared" si="75"/>
        <v>0</v>
      </c>
      <c r="M362" s="49">
        <f t="shared" si="76"/>
        <v>0</v>
      </c>
      <c r="N362" s="29" t="str">
        <f t="shared" si="66"/>
        <v/>
      </c>
      <c r="O362" s="29">
        <f t="shared" si="67"/>
        <v>0</v>
      </c>
      <c r="P362" s="29">
        <f t="shared" si="68"/>
        <v>0</v>
      </c>
      <c r="Q362" s="29">
        <f>IF(A362&lt;&gt;"",SUM(F$2:F362),Q361)</f>
        <v>8</v>
      </c>
      <c r="R362" s="30">
        <f t="shared" si="77"/>
        <v>0</v>
      </c>
    </row>
    <row r="363" spans="1:18" x14ac:dyDescent="0.25">
      <c r="A363" s="27" t="str">
        <f>IF('Data Sheet'!A363="","",'Data Sheet'!A363)</f>
        <v/>
      </c>
      <c r="B363" s="28" t="str">
        <f>IF('Data Sheet'!B363="","",'Data Sheet'!B363)</f>
        <v/>
      </c>
      <c r="C363" s="28" t="str">
        <f>IF('Data Sheet'!C363="","",'Data Sheet'!C363)</f>
        <v/>
      </c>
      <c r="D363" s="28" t="str">
        <f>IF('Data Sheet'!D363="","",'Data Sheet'!D363)</f>
        <v/>
      </c>
      <c r="E363" s="29" t="str">
        <f t="shared" si="69"/>
        <v>C</v>
      </c>
      <c r="F363" s="51">
        <v>0</v>
      </c>
      <c r="G363" s="49">
        <f t="shared" si="70"/>
        <v>0</v>
      </c>
      <c r="H363" s="49">
        <f t="shared" si="71"/>
        <v>0</v>
      </c>
      <c r="I363" s="49">
        <f t="shared" si="72"/>
        <v>0</v>
      </c>
      <c r="J363" s="49">
        <f t="shared" si="73"/>
        <v>0</v>
      </c>
      <c r="K363" s="49">
        <f t="shared" si="74"/>
        <v>0</v>
      </c>
      <c r="L363" s="49">
        <f t="shared" si="75"/>
        <v>0</v>
      </c>
      <c r="M363" s="49">
        <f t="shared" si="76"/>
        <v>0</v>
      </c>
      <c r="N363" s="29" t="str">
        <f t="shared" si="66"/>
        <v/>
      </c>
      <c r="O363" s="29">
        <f t="shared" si="67"/>
        <v>0</v>
      </c>
      <c r="P363" s="29">
        <f t="shared" si="68"/>
        <v>0</v>
      </c>
      <c r="Q363" s="29">
        <f>IF(A363&lt;&gt;"",SUM(F$2:F363),Q362)</f>
        <v>8</v>
      </c>
      <c r="R363" s="30">
        <f t="shared" si="77"/>
        <v>0</v>
      </c>
    </row>
    <row r="364" spans="1:18" x14ac:dyDescent="0.25">
      <c r="A364" s="27" t="str">
        <f>IF('Data Sheet'!A364="","",'Data Sheet'!A364)</f>
        <v/>
      </c>
      <c r="B364" s="28" t="str">
        <f>IF('Data Sheet'!B364="","",'Data Sheet'!B364)</f>
        <v/>
      </c>
      <c r="C364" s="28" t="str">
        <f>IF('Data Sheet'!C364="","",'Data Sheet'!C364)</f>
        <v/>
      </c>
      <c r="D364" s="28" t="str">
        <f>IF('Data Sheet'!D364="","",'Data Sheet'!D364)</f>
        <v/>
      </c>
      <c r="E364" s="29" t="str">
        <f t="shared" si="69"/>
        <v>C</v>
      </c>
      <c r="F364" s="51">
        <v>0</v>
      </c>
      <c r="G364" s="49">
        <f t="shared" si="70"/>
        <v>0</v>
      </c>
      <c r="H364" s="49">
        <f t="shared" si="71"/>
        <v>0</v>
      </c>
      <c r="I364" s="49">
        <f t="shared" si="72"/>
        <v>0</v>
      </c>
      <c r="J364" s="49">
        <f t="shared" si="73"/>
        <v>0</v>
      </c>
      <c r="K364" s="49">
        <f t="shared" si="74"/>
        <v>0</v>
      </c>
      <c r="L364" s="49">
        <f t="shared" si="75"/>
        <v>0</v>
      </c>
      <c r="M364" s="49">
        <f t="shared" si="76"/>
        <v>0</v>
      </c>
      <c r="N364" s="29" t="str">
        <f t="shared" si="66"/>
        <v/>
      </c>
      <c r="O364" s="29">
        <f t="shared" si="67"/>
        <v>0</v>
      </c>
      <c r="P364" s="29">
        <f t="shared" si="68"/>
        <v>0</v>
      </c>
      <c r="Q364" s="29">
        <f>IF(A364&lt;&gt;"",SUM(F$2:F364),Q363)</f>
        <v>8</v>
      </c>
      <c r="R364" s="30">
        <f t="shared" si="77"/>
        <v>0</v>
      </c>
    </row>
    <row r="365" spans="1:18" x14ac:dyDescent="0.25">
      <c r="A365" s="27" t="str">
        <f>IF('Data Sheet'!A365="","",'Data Sheet'!A365)</f>
        <v/>
      </c>
      <c r="B365" s="28" t="str">
        <f>IF('Data Sheet'!B365="","",'Data Sheet'!B365)</f>
        <v/>
      </c>
      <c r="C365" s="28" t="str">
        <f>IF('Data Sheet'!C365="","",'Data Sheet'!C365)</f>
        <v/>
      </c>
      <c r="D365" s="28" t="str">
        <f>IF('Data Sheet'!D365="","",'Data Sheet'!D365)</f>
        <v/>
      </c>
      <c r="E365" s="29" t="str">
        <f t="shared" si="69"/>
        <v>C</v>
      </c>
      <c r="F365" s="51">
        <v>0</v>
      </c>
      <c r="G365" s="49">
        <f t="shared" si="70"/>
        <v>0</v>
      </c>
      <c r="H365" s="49">
        <f t="shared" si="71"/>
        <v>0</v>
      </c>
      <c r="I365" s="49">
        <f t="shared" si="72"/>
        <v>0</v>
      </c>
      <c r="J365" s="49">
        <f t="shared" si="73"/>
        <v>0</v>
      </c>
      <c r="K365" s="49">
        <f t="shared" si="74"/>
        <v>0</v>
      </c>
      <c r="L365" s="49">
        <f t="shared" si="75"/>
        <v>0</v>
      </c>
      <c r="M365" s="49">
        <f t="shared" si="76"/>
        <v>0</v>
      </c>
      <c r="N365" s="29" t="str">
        <f t="shared" si="66"/>
        <v/>
      </c>
      <c r="O365" s="29">
        <f t="shared" si="67"/>
        <v>0</v>
      </c>
      <c r="P365" s="29">
        <f t="shared" si="68"/>
        <v>0</v>
      </c>
      <c r="Q365" s="29">
        <f>IF(A365&lt;&gt;"",SUM(F$2:F365),Q364)</f>
        <v>8</v>
      </c>
      <c r="R365" s="30">
        <f t="shared" si="77"/>
        <v>0</v>
      </c>
    </row>
    <row r="366" spans="1:18" x14ac:dyDescent="0.25">
      <c r="A366" s="27" t="str">
        <f>IF('Data Sheet'!A366="","",'Data Sheet'!A366)</f>
        <v/>
      </c>
      <c r="B366" s="28" t="str">
        <f>IF('Data Sheet'!B366="","",'Data Sheet'!B366)</f>
        <v/>
      </c>
      <c r="C366" s="28" t="str">
        <f>IF('Data Sheet'!C366="","",'Data Sheet'!C366)</f>
        <v/>
      </c>
      <c r="D366" s="28" t="str">
        <f>IF('Data Sheet'!D366="","",'Data Sheet'!D366)</f>
        <v/>
      </c>
      <c r="E366" s="29" t="str">
        <f t="shared" si="69"/>
        <v>C</v>
      </c>
      <c r="F366" s="51">
        <v>0</v>
      </c>
      <c r="G366" s="49">
        <f t="shared" si="70"/>
        <v>0</v>
      </c>
      <c r="H366" s="49">
        <f t="shared" si="71"/>
        <v>0</v>
      </c>
      <c r="I366" s="49">
        <f t="shared" si="72"/>
        <v>0</v>
      </c>
      <c r="J366" s="49">
        <f t="shared" si="73"/>
        <v>0</v>
      </c>
      <c r="K366" s="49">
        <f t="shared" si="74"/>
        <v>0</v>
      </c>
      <c r="L366" s="49">
        <f t="shared" si="75"/>
        <v>0</v>
      </c>
      <c r="M366" s="49">
        <f t="shared" si="76"/>
        <v>0</v>
      </c>
      <c r="N366" s="29" t="str">
        <f t="shared" si="66"/>
        <v/>
      </c>
      <c r="O366" s="29">
        <f t="shared" si="67"/>
        <v>0</v>
      </c>
      <c r="P366" s="29">
        <f t="shared" si="68"/>
        <v>0</v>
      </c>
      <c r="Q366" s="29">
        <f>IF(A366&lt;&gt;"",SUM(F$2:F366),Q365)</f>
        <v>8</v>
      </c>
      <c r="R366" s="30">
        <f t="shared" si="77"/>
        <v>0</v>
      </c>
    </row>
    <row r="367" spans="1:18" x14ac:dyDescent="0.25">
      <c r="A367" s="27" t="str">
        <f>IF('Data Sheet'!A367="","",'Data Sheet'!A367)</f>
        <v/>
      </c>
      <c r="B367" s="28" t="str">
        <f>IF('Data Sheet'!B367="","",'Data Sheet'!B367)</f>
        <v/>
      </c>
      <c r="C367" s="28" t="str">
        <f>IF('Data Sheet'!C367="","",'Data Sheet'!C367)</f>
        <v/>
      </c>
      <c r="D367" s="28" t="str">
        <f>IF('Data Sheet'!D367="","",'Data Sheet'!D367)</f>
        <v/>
      </c>
      <c r="E367" s="29" t="str">
        <f t="shared" si="69"/>
        <v>C</v>
      </c>
      <c r="F367" s="51">
        <v>0</v>
      </c>
      <c r="G367" s="49">
        <f t="shared" si="70"/>
        <v>0</v>
      </c>
      <c r="H367" s="49">
        <f t="shared" si="71"/>
        <v>0</v>
      </c>
      <c r="I367" s="49">
        <f t="shared" si="72"/>
        <v>0</v>
      </c>
      <c r="J367" s="49">
        <f t="shared" si="73"/>
        <v>0</v>
      </c>
      <c r="K367" s="49">
        <f t="shared" si="74"/>
        <v>0</v>
      </c>
      <c r="L367" s="49">
        <f t="shared" si="75"/>
        <v>0</v>
      </c>
      <c r="M367" s="49">
        <f t="shared" si="76"/>
        <v>0</v>
      </c>
      <c r="N367" s="29" t="str">
        <f t="shared" si="66"/>
        <v/>
      </c>
      <c r="O367" s="29">
        <f t="shared" si="67"/>
        <v>0</v>
      </c>
      <c r="P367" s="29">
        <f t="shared" si="68"/>
        <v>0</v>
      </c>
      <c r="Q367" s="29">
        <f>IF(A367&lt;&gt;"",SUM(F$2:F367),Q366)</f>
        <v>8</v>
      </c>
      <c r="R367" s="30">
        <f t="shared" si="77"/>
        <v>0</v>
      </c>
    </row>
    <row r="368" spans="1:18" x14ac:dyDescent="0.25">
      <c r="A368" s="27" t="str">
        <f>IF('Data Sheet'!A368="","",'Data Sheet'!A368)</f>
        <v/>
      </c>
      <c r="B368" s="28" t="str">
        <f>IF('Data Sheet'!B368="","",'Data Sheet'!B368)</f>
        <v/>
      </c>
      <c r="C368" s="28" t="str">
        <f>IF('Data Sheet'!C368="","",'Data Sheet'!C368)</f>
        <v/>
      </c>
      <c r="D368" s="28" t="str">
        <f>IF('Data Sheet'!D368="","",'Data Sheet'!D368)</f>
        <v/>
      </c>
      <c r="E368" s="29" t="str">
        <f t="shared" si="69"/>
        <v>C</v>
      </c>
      <c r="F368" s="51">
        <v>0</v>
      </c>
      <c r="G368" s="49">
        <f t="shared" si="70"/>
        <v>0</v>
      </c>
      <c r="H368" s="49">
        <f t="shared" si="71"/>
        <v>0</v>
      </c>
      <c r="I368" s="49">
        <f t="shared" si="72"/>
        <v>0</v>
      </c>
      <c r="J368" s="49">
        <f t="shared" si="73"/>
        <v>0</v>
      </c>
      <c r="K368" s="49">
        <f t="shared" si="74"/>
        <v>0</v>
      </c>
      <c r="L368" s="49">
        <f t="shared" si="75"/>
        <v>0</v>
      </c>
      <c r="M368" s="49">
        <f t="shared" si="76"/>
        <v>0</v>
      </c>
      <c r="N368" s="29" t="str">
        <f t="shared" si="66"/>
        <v/>
      </c>
      <c r="O368" s="29">
        <f t="shared" si="67"/>
        <v>0</v>
      </c>
      <c r="P368" s="29">
        <f t="shared" si="68"/>
        <v>0</v>
      </c>
      <c r="Q368" s="29">
        <f>IF(A368&lt;&gt;"",SUM(F$2:F368),Q367)</f>
        <v>8</v>
      </c>
      <c r="R368" s="30">
        <f t="shared" si="77"/>
        <v>0</v>
      </c>
    </row>
    <row r="369" spans="1:18" x14ac:dyDescent="0.25">
      <c r="A369" s="27" t="str">
        <f>IF('Data Sheet'!A369="","",'Data Sheet'!A369)</f>
        <v/>
      </c>
      <c r="B369" s="28" t="str">
        <f>IF('Data Sheet'!B369="","",'Data Sheet'!B369)</f>
        <v/>
      </c>
      <c r="C369" s="28" t="str">
        <f>IF('Data Sheet'!C369="","",'Data Sheet'!C369)</f>
        <v/>
      </c>
      <c r="D369" s="28" t="str">
        <f>IF('Data Sheet'!D369="","",'Data Sheet'!D369)</f>
        <v/>
      </c>
      <c r="E369" s="29" t="str">
        <f t="shared" si="69"/>
        <v>C</v>
      </c>
      <c r="F369" s="51">
        <v>0</v>
      </c>
      <c r="G369" s="49">
        <f t="shared" si="70"/>
        <v>0</v>
      </c>
      <c r="H369" s="49">
        <f t="shared" si="71"/>
        <v>0</v>
      </c>
      <c r="I369" s="49">
        <f t="shared" si="72"/>
        <v>0</v>
      </c>
      <c r="J369" s="49">
        <f t="shared" si="73"/>
        <v>0</v>
      </c>
      <c r="K369" s="49">
        <f t="shared" si="74"/>
        <v>0</v>
      </c>
      <c r="L369" s="49">
        <f t="shared" si="75"/>
        <v>0</v>
      </c>
      <c r="M369" s="49">
        <f t="shared" si="76"/>
        <v>0</v>
      </c>
      <c r="N369" s="29" t="str">
        <f t="shared" si="66"/>
        <v/>
      </c>
      <c r="O369" s="29">
        <f t="shared" si="67"/>
        <v>0</v>
      </c>
      <c r="P369" s="29">
        <f t="shared" si="68"/>
        <v>0</v>
      </c>
      <c r="Q369" s="29">
        <f>IF(A369&lt;&gt;"",SUM(F$2:F369),Q368)</f>
        <v>8</v>
      </c>
      <c r="R369" s="30">
        <f t="shared" si="77"/>
        <v>0</v>
      </c>
    </row>
    <row r="370" spans="1:18" x14ac:dyDescent="0.25">
      <c r="A370" s="27" t="str">
        <f>IF('Data Sheet'!A370="","",'Data Sheet'!A370)</f>
        <v/>
      </c>
      <c r="B370" s="28" t="str">
        <f>IF('Data Sheet'!B370="","",'Data Sheet'!B370)</f>
        <v/>
      </c>
      <c r="C370" s="28" t="str">
        <f>IF('Data Sheet'!C370="","",'Data Sheet'!C370)</f>
        <v/>
      </c>
      <c r="D370" s="28" t="str">
        <f>IF('Data Sheet'!D370="","",'Data Sheet'!D370)</f>
        <v/>
      </c>
      <c r="E370" s="29" t="str">
        <f t="shared" si="69"/>
        <v>C</v>
      </c>
      <c r="F370" s="51">
        <v>0</v>
      </c>
      <c r="G370" s="49">
        <f t="shared" si="70"/>
        <v>0</v>
      </c>
      <c r="H370" s="49">
        <f t="shared" si="71"/>
        <v>0</v>
      </c>
      <c r="I370" s="49">
        <f t="shared" si="72"/>
        <v>0</v>
      </c>
      <c r="J370" s="49">
        <f t="shared" si="73"/>
        <v>0</v>
      </c>
      <c r="K370" s="49">
        <f t="shared" si="74"/>
        <v>0</v>
      </c>
      <c r="L370" s="49">
        <f t="shared" si="75"/>
        <v>0</v>
      </c>
      <c r="M370" s="49">
        <f t="shared" si="76"/>
        <v>0</v>
      </c>
      <c r="N370" s="29" t="str">
        <f t="shared" si="66"/>
        <v/>
      </c>
      <c r="O370" s="29">
        <f t="shared" si="67"/>
        <v>0</v>
      </c>
      <c r="P370" s="29">
        <f t="shared" si="68"/>
        <v>0</v>
      </c>
      <c r="Q370" s="29">
        <f>IF(A370&lt;&gt;"",SUM(F$2:F370),Q369)</f>
        <v>8</v>
      </c>
      <c r="R370" s="30">
        <f t="shared" si="77"/>
        <v>0</v>
      </c>
    </row>
    <row r="371" spans="1:18" x14ac:dyDescent="0.25">
      <c r="A371" s="27" t="str">
        <f>IF('Data Sheet'!A371="","",'Data Sheet'!A371)</f>
        <v/>
      </c>
      <c r="B371" s="28" t="str">
        <f>IF('Data Sheet'!B371="","",'Data Sheet'!B371)</f>
        <v/>
      </c>
      <c r="C371" s="28" t="str">
        <f>IF('Data Sheet'!C371="","",'Data Sheet'!C371)</f>
        <v/>
      </c>
      <c r="D371" s="28" t="str">
        <f>IF('Data Sheet'!D371="","",'Data Sheet'!D371)</f>
        <v/>
      </c>
      <c r="E371" s="29" t="str">
        <f t="shared" si="69"/>
        <v>C</v>
      </c>
      <c r="F371" s="51">
        <v>0</v>
      </c>
      <c r="G371" s="49">
        <f t="shared" si="70"/>
        <v>0</v>
      </c>
      <c r="H371" s="49">
        <f t="shared" si="71"/>
        <v>0</v>
      </c>
      <c r="I371" s="49">
        <f t="shared" si="72"/>
        <v>0</v>
      </c>
      <c r="J371" s="49">
        <f t="shared" si="73"/>
        <v>0</v>
      </c>
      <c r="K371" s="49">
        <f t="shared" si="74"/>
        <v>0</v>
      </c>
      <c r="L371" s="49">
        <f t="shared" si="75"/>
        <v>0</v>
      </c>
      <c r="M371" s="49">
        <f t="shared" si="76"/>
        <v>0</v>
      </c>
      <c r="N371" s="29" t="str">
        <f t="shared" si="66"/>
        <v/>
      </c>
      <c r="O371" s="29">
        <f t="shared" si="67"/>
        <v>0</v>
      </c>
      <c r="P371" s="29">
        <f t="shared" si="68"/>
        <v>0</v>
      </c>
      <c r="Q371" s="29">
        <f>IF(A371&lt;&gt;"",SUM(F$2:F371),Q370)</f>
        <v>8</v>
      </c>
      <c r="R371" s="30">
        <f t="shared" si="77"/>
        <v>0</v>
      </c>
    </row>
    <row r="372" spans="1:18" x14ac:dyDescent="0.25">
      <c r="A372" s="27" t="str">
        <f>IF('Data Sheet'!A372="","",'Data Sheet'!A372)</f>
        <v/>
      </c>
      <c r="B372" s="28" t="str">
        <f>IF('Data Sheet'!B372="","",'Data Sheet'!B372)</f>
        <v/>
      </c>
      <c r="C372" s="28" t="str">
        <f>IF('Data Sheet'!C372="","",'Data Sheet'!C372)</f>
        <v/>
      </c>
      <c r="D372" s="28" t="str">
        <f>IF('Data Sheet'!D372="","",'Data Sheet'!D372)</f>
        <v/>
      </c>
      <c r="E372" s="29" t="str">
        <f t="shared" si="69"/>
        <v>C</v>
      </c>
      <c r="F372" s="51">
        <v>0</v>
      </c>
      <c r="G372" s="49">
        <f t="shared" si="70"/>
        <v>0</v>
      </c>
      <c r="H372" s="49">
        <f t="shared" si="71"/>
        <v>0</v>
      </c>
      <c r="I372" s="49">
        <f t="shared" si="72"/>
        <v>0</v>
      </c>
      <c r="J372" s="49">
        <f t="shared" si="73"/>
        <v>0</v>
      </c>
      <c r="K372" s="49">
        <f t="shared" si="74"/>
        <v>0</v>
      </c>
      <c r="L372" s="49">
        <f t="shared" si="75"/>
        <v>0</v>
      </c>
      <c r="M372" s="49">
        <f t="shared" si="76"/>
        <v>0</v>
      </c>
      <c r="N372" s="29" t="str">
        <f t="shared" si="66"/>
        <v/>
      </c>
      <c r="O372" s="29">
        <f t="shared" si="67"/>
        <v>0</v>
      </c>
      <c r="P372" s="29">
        <f t="shared" si="68"/>
        <v>0</v>
      </c>
      <c r="Q372" s="29">
        <f>IF(A372&lt;&gt;"",SUM(F$2:F372),Q371)</f>
        <v>8</v>
      </c>
      <c r="R372" s="30">
        <f t="shared" si="77"/>
        <v>0</v>
      </c>
    </row>
    <row r="373" spans="1:18" x14ac:dyDescent="0.25">
      <c r="A373" s="27" t="str">
        <f>IF('Data Sheet'!A373="","",'Data Sheet'!A373)</f>
        <v/>
      </c>
      <c r="B373" s="28" t="str">
        <f>IF('Data Sheet'!B373="","",'Data Sheet'!B373)</f>
        <v/>
      </c>
      <c r="C373" s="28" t="str">
        <f>IF('Data Sheet'!C373="","",'Data Sheet'!C373)</f>
        <v/>
      </c>
      <c r="D373" s="28" t="str">
        <f>IF('Data Sheet'!D373="","",'Data Sheet'!D373)</f>
        <v/>
      </c>
      <c r="E373" s="29" t="str">
        <f t="shared" si="69"/>
        <v>C</v>
      </c>
      <c r="F373" s="51">
        <v>0</v>
      </c>
      <c r="G373" s="49">
        <f t="shared" si="70"/>
        <v>0</v>
      </c>
      <c r="H373" s="49">
        <f t="shared" si="71"/>
        <v>0</v>
      </c>
      <c r="I373" s="49">
        <f t="shared" si="72"/>
        <v>0</v>
      </c>
      <c r="J373" s="49">
        <f t="shared" si="73"/>
        <v>0</v>
      </c>
      <c r="K373" s="49">
        <f t="shared" si="74"/>
        <v>0</v>
      </c>
      <c r="L373" s="49">
        <f t="shared" si="75"/>
        <v>0</v>
      </c>
      <c r="M373" s="49">
        <f t="shared" si="76"/>
        <v>0</v>
      </c>
      <c r="N373" s="29" t="str">
        <f t="shared" si="66"/>
        <v/>
      </c>
      <c r="O373" s="29">
        <f t="shared" si="67"/>
        <v>0</v>
      </c>
      <c r="P373" s="29">
        <f t="shared" si="68"/>
        <v>0</v>
      </c>
      <c r="Q373" s="29">
        <f>IF(A373&lt;&gt;"",SUM(F$2:F373),Q372)</f>
        <v>8</v>
      </c>
      <c r="R373" s="30">
        <f t="shared" si="77"/>
        <v>0</v>
      </c>
    </row>
    <row r="374" spans="1:18" x14ac:dyDescent="0.25">
      <c r="A374" s="27" t="str">
        <f>IF('Data Sheet'!A374="","",'Data Sheet'!A374)</f>
        <v/>
      </c>
      <c r="B374" s="28" t="str">
        <f>IF('Data Sheet'!B374="","",'Data Sheet'!B374)</f>
        <v/>
      </c>
      <c r="C374" s="28" t="str">
        <f>IF('Data Sheet'!C374="","",'Data Sheet'!C374)</f>
        <v/>
      </c>
      <c r="D374" s="28" t="str">
        <f>IF('Data Sheet'!D374="","",'Data Sheet'!D374)</f>
        <v/>
      </c>
      <c r="E374" s="29" t="str">
        <f t="shared" si="69"/>
        <v>C</v>
      </c>
      <c r="F374" s="51">
        <v>0</v>
      </c>
      <c r="G374" s="49">
        <f t="shared" si="70"/>
        <v>0</v>
      </c>
      <c r="H374" s="49">
        <f t="shared" si="71"/>
        <v>0</v>
      </c>
      <c r="I374" s="49">
        <f t="shared" si="72"/>
        <v>0</v>
      </c>
      <c r="J374" s="49">
        <f t="shared" si="73"/>
        <v>0</v>
      </c>
      <c r="K374" s="49">
        <f t="shared" si="74"/>
        <v>0</v>
      </c>
      <c r="L374" s="49">
        <f t="shared" si="75"/>
        <v>0</v>
      </c>
      <c r="M374" s="49">
        <f t="shared" si="76"/>
        <v>0</v>
      </c>
      <c r="N374" s="29" t="str">
        <f t="shared" si="66"/>
        <v/>
      </c>
      <c r="O374" s="29">
        <f t="shared" si="67"/>
        <v>0</v>
      </c>
      <c r="P374" s="29">
        <f t="shared" si="68"/>
        <v>0</v>
      </c>
      <c r="Q374" s="29">
        <f>IF(A374&lt;&gt;"",SUM(F$2:F374),Q373)</f>
        <v>8</v>
      </c>
      <c r="R374" s="30">
        <f t="shared" si="77"/>
        <v>0</v>
      </c>
    </row>
    <row r="375" spans="1:18" x14ac:dyDescent="0.25">
      <c r="A375" s="27" t="str">
        <f>IF('Data Sheet'!A375="","",'Data Sheet'!A375)</f>
        <v/>
      </c>
      <c r="B375" s="28" t="str">
        <f>IF('Data Sheet'!B375="","",'Data Sheet'!B375)</f>
        <v/>
      </c>
      <c r="C375" s="28" t="str">
        <f>IF('Data Sheet'!C375="","",'Data Sheet'!C375)</f>
        <v/>
      </c>
      <c r="D375" s="28" t="str">
        <f>IF('Data Sheet'!D375="","",'Data Sheet'!D375)</f>
        <v/>
      </c>
      <c r="E375" s="29" t="str">
        <f t="shared" si="69"/>
        <v>C</v>
      </c>
      <c r="F375" s="51">
        <v>0</v>
      </c>
      <c r="G375" s="49">
        <f t="shared" si="70"/>
        <v>0</v>
      </c>
      <c r="H375" s="49">
        <f t="shared" si="71"/>
        <v>0</v>
      </c>
      <c r="I375" s="49">
        <f t="shared" si="72"/>
        <v>0</v>
      </c>
      <c r="J375" s="49">
        <f t="shared" si="73"/>
        <v>0</v>
      </c>
      <c r="K375" s="49">
        <f t="shared" si="74"/>
        <v>0</v>
      </c>
      <c r="L375" s="49">
        <f t="shared" si="75"/>
        <v>0</v>
      </c>
      <c r="M375" s="49">
        <f t="shared" si="76"/>
        <v>0</v>
      </c>
      <c r="N375" s="29" t="str">
        <f t="shared" si="66"/>
        <v/>
      </c>
      <c r="O375" s="29">
        <f t="shared" si="67"/>
        <v>0</v>
      </c>
      <c r="P375" s="29">
        <f t="shared" si="68"/>
        <v>0</v>
      </c>
      <c r="Q375" s="29">
        <f>IF(A375&lt;&gt;"",SUM(F$2:F375),Q374)</f>
        <v>8</v>
      </c>
      <c r="R375" s="30">
        <f t="shared" si="77"/>
        <v>0</v>
      </c>
    </row>
    <row r="376" spans="1:18" x14ac:dyDescent="0.25">
      <c r="A376" s="27" t="str">
        <f>IF('Data Sheet'!A376="","",'Data Sheet'!A376)</f>
        <v/>
      </c>
      <c r="B376" s="28" t="str">
        <f>IF('Data Sheet'!B376="","",'Data Sheet'!B376)</f>
        <v/>
      </c>
      <c r="C376" s="28" t="str">
        <f>IF('Data Sheet'!C376="","",'Data Sheet'!C376)</f>
        <v/>
      </c>
      <c r="D376" s="28" t="str">
        <f>IF('Data Sheet'!D376="","",'Data Sheet'!D376)</f>
        <v/>
      </c>
      <c r="E376" s="29" t="str">
        <f t="shared" si="69"/>
        <v>C</v>
      </c>
      <c r="F376" s="51">
        <v>0</v>
      </c>
      <c r="G376" s="49">
        <f t="shared" si="70"/>
        <v>0</v>
      </c>
      <c r="H376" s="49">
        <f t="shared" si="71"/>
        <v>0</v>
      </c>
      <c r="I376" s="49">
        <f t="shared" si="72"/>
        <v>0</v>
      </c>
      <c r="J376" s="49">
        <f t="shared" si="73"/>
        <v>0</v>
      </c>
      <c r="K376" s="49">
        <f t="shared" si="74"/>
        <v>0</v>
      </c>
      <c r="L376" s="49">
        <f t="shared" si="75"/>
        <v>0</v>
      </c>
      <c r="M376" s="49">
        <f t="shared" si="76"/>
        <v>0</v>
      </c>
      <c r="N376" s="29" t="str">
        <f t="shared" si="66"/>
        <v/>
      </c>
      <c r="O376" s="29">
        <f t="shared" si="67"/>
        <v>0</v>
      </c>
      <c r="P376" s="29">
        <f t="shared" si="68"/>
        <v>0</v>
      </c>
      <c r="Q376" s="29">
        <f>IF(A376&lt;&gt;"",SUM(F$2:F376),Q375)</f>
        <v>8</v>
      </c>
      <c r="R376" s="30">
        <f t="shared" si="77"/>
        <v>0</v>
      </c>
    </row>
    <row r="377" spans="1:18" x14ac:dyDescent="0.25">
      <c r="A377" s="27" t="str">
        <f>IF('Data Sheet'!A377="","",'Data Sheet'!A377)</f>
        <v/>
      </c>
      <c r="B377" s="28" t="str">
        <f>IF('Data Sheet'!B377="","",'Data Sheet'!B377)</f>
        <v/>
      </c>
      <c r="C377" s="28" t="str">
        <f>IF('Data Sheet'!C377="","",'Data Sheet'!C377)</f>
        <v/>
      </c>
      <c r="D377" s="28" t="str">
        <f>IF('Data Sheet'!D377="","",'Data Sheet'!D377)</f>
        <v/>
      </c>
      <c r="E377" s="29" t="str">
        <f t="shared" si="69"/>
        <v>C</v>
      </c>
      <c r="F377" s="51">
        <v>0</v>
      </c>
      <c r="G377" s="49">
        <f t="shared" si="70"/>
        <v>0</v>
      </c>
      <c r="H377" s="49">
        <f t="shared" si="71"/>
        <v>0</v>
      </c>
      <c r="I377" s="49">
        <f t="shared" si="72"/>
        <v>0</v>
      </c>
      <c r="J377" s="49">
        <f t="shared" si="73"/>
        <v>0</v>
      </c>
      <c r="K377" s="49">
        <f t="shared" si="74"/>
        <v>0</v>
      </c>
      <c r="L377" s="49">
        <f t="shared" si="75"/>
        <v>0</v>
      </c>
      <c r="M377" s="49">
        <f t="shared" si="76"/>
        <v>0</v>
      </c>
      <c r="N377" s="29" t="str">
        <f t="shared" si="66"/>
        <v/>
      </c>
      <c r="O377" s="29">
        <f t="shared" si="67"/>
        <v>0</v>
      </c>
      <c r="P377" s="29">
        <f t="shared" si="68"/>
        <v>0</v>
      </c>
      <c r="Q377" s="29">
        <f>IF(A377&lt;&gt;"",SUM(F$2:F377),Q376)</f>
        <v>8</v>
      </c>
      <c r="R377" s="30">
        <f t="shared" si="77"/>
        <v>0</v>
      </c>
    </row>
    <row r="378" spans="1:18" x14ac:dyDescent="0.25">
      <c r="A378" s="27" t="str">
        <f>IF('Data Sheet'!A378="","",'Data Sheet'!A378)</f>
        <v/>
      </c>
      <c r="B378" s="28" t="str">
        <f>IF('Data Sheet'!B378="","",'Data Sheet'!B378)</f>
        <v/>
      </c>
      <c r="C378" s="28" t="str">
        <f>IF('Data Sheet'!C378="","",'Data Sheet'!C378)</f>
        <v/>
      </c>
      <c r="D378" s="28" t="str">
        <f>IF('Data Sheet'!D378="","",'Data Sheet'!D378)</f>
        <v/>
      </c>
      <c r="E378" s="29" t="str">
        <f t="shared" si="69"/>
        <v>C</v>
      </c>
      <c r="F378" s="51">
        <v>0</v>
      </c>
      <c r="G378" s="49">
        <f t="shared" si="70"/>
        <v>0</v>
      </c>
      <c r="H378" s="49">
        <f t="shared" si="71"/>
        <v>0</v>
      </c>
      <c r="I378" s="49">
        <f t="shared" si="72"/>
        <v>0</v>
      </c>
      <c r="J378" s="49">
        <f t="shared" si="73"/>
        <v>0</v>
      </c>
      <c r="K378" s="49">
        <f t="shared" si="74"/>
        <v>0</v>
      </c>
      <c r="L378" s="49">
        <f t="shared" si="75"/>
        <v>0</v>
      </c>
      <c r="M378" s="49">
        <f t="shared" si="76"/>
        <v>0</v>
      </c>
      <c r="N378" s="29" t="str">
        <f t="shared" si="66"/>
        <v/>
      </c>
      <c r="O378" s="29">
        <f t="shared" si="67"/>
        <v>0</v>
      </c>
      <c r="P378" s="29">
        <f t="shared" si="68"/>
        <v>0</v>
      </c>
      <c r="Q378" s="29">
        <f>IF(A378&lt;&gt;"",SUM(F$2:F378),Q377)</f>
        <v>8</v>
      </c>
      <c r="R378" s="30">
        <f t="shared" si="77"/>
        <v>0</v>
      </c>
    </row>
    <row r="379" spans="1:18" x14ac:dyDescent="0.25">
      <c r="A379" s="27" t="str">
        <f>IF('Data Sheet'!A379="","",'Data Sheet'!A379)</f>
        <v/>
      </c>
      <c r="B379" s="28" t="str">
        <f>IF('Data Sheet'!B379="","",'Data Sheet'!B379)</f>
        <v/>
      </c>
      <c r="C379" s="28" t="str">
        <f>IF('Data Sheet'!C379="","",'Data Sheet'!C379)</f>
        <v/>
      </c>
      <c r="D379" s="28" t="str">
        <f>IF('Data Sheet'!D379="","",'Data Sheet'!D379)</f>
        <v/>
      </c>
      <c r="E379" s="29" t="str">
        <f t="shared" si="69"/>
        <v>C</v>
      </c>
      <c r="F379" s="51">
        <v>0</v>
      </c>
      <c r="G379" s="49">
        <f t="shared" si="70"/>
        <v>0</v>
      </c>
      <c r="H379" s="49">
        <f t="shared" si="71"/>
        <v>0</v>
      </c>
      <c r="I379" s="49">
        <f t="shared" si="72"/>
        <v>0</v>
      </c>
      <c r="J379" s="49">
        <f t="shared" si="73"/>
        <v>0</v>
      </c>
      <c r="K379" s="49">
        <f t="shared" si="74"/>
        <v>0</v>
      </c>
      <c r="L379" s="49">
        <f t="shared" si="75"/>
        <v>0</v>
      </c>
      <c r="M379" s="49">
        <f t="shared" si="76"/>
        <v>0</v>
      </c>
      <c r="N379" s="29" t="str">
        <f t="shared" si="66"/>
        <v/>
      </c>
      <c r="O379" s="29">
        <f t="shared" si="67"/>
        <v>0</v>
      </c>
      <c r="P379" s="29">
        <f t="shared" si="68"/>
        <v>0</v>
      </c>
      <c r="Q379" s="29">
        <f>IF(A379&lt;&gt;"",SUM(F$2:F379),Q378)</f>
        <v>8</v>
      </c>
      <c r="R379" s="30">
        <f t="shared" si="77"/>
        <v>0</v>
      </c>
    </row>
    <row r="380" spans="1:18" x14ac:dyDescent="0.25">
      <c r="A380" s="27" t="str">
        <f>IF('Data Sheet'!A380="","",'Data Sheet'!A380)</f>
        <v/>
      </c>
      <c r="B380" s="28" t="str">
        <f>IF('Data Sheet'!B380="","",'Data Sheet'!B380)</f>
        <v/>
      </c>
      <c r="C380" s="28" t="str">
        <f>IF('Data Sheet'!C380="","",'Data Sheet'!C380)</f>
        <v/>
      </c>
      <c r="D380" s="28" t="str">
        <f>IF('Data Sheet'!D380="","",'Data Sheet'!D380)</f>
        <v/>
      </c>
      <c r="E380" s="29" t="str">
        <f t="shared" si="69"/>
        <v>C</v>
      </c>
      <c r="F380" s="51">
        <v>0</v>
      </c>
      <c r="G380" s="49">
        <f t="shared" si="70"/>
        <v>0</v>
      </c>
      <c r="H380" s="49">
        <f t="shared" si="71"/>
        <v>0</v>
      </c>
      <c r="I380" s="49">
        <f t="shared" si="72"/>
        <v>0</v>
      </c>
      <c r="J380" s="49">
        <f t="shared" si="73"/>
        <v>0</v>
      </c>
      <c r="K380" s="49">
        <f t="shared" si="74"/>
        <v>0</v>
      </c>
      <c r="L380" s="49">
        <f t="shared" si="75"/>
        <v>0</v>
      </c>
      <c r="M380" s="49">
        <f t="shared" si="76"/>
        <v>0</v>
      </c>
      <c r="N380" s="29" t="str">
        <f t="shared" si="66"/>
        <v/>
      </c>
      <c r="O380" s="29">
        <f t="shared" si="67"/>
        <v>0</v>
      </c>
      <c r="P380" s="29">
        <f t="shared" si="68"/>
        <v>0</v>
      </c>
      <c r="Q380" s="29">
        <f>IF(A380&lt;&gt;"",SUM(F$2:F380),Q379)</f>
        <v>8</v>
      </c>
      <c r="R380" s="30">
        <f t="shared" si="77"/>
        <v>0</v>
      </c>
    </row>
    <row r="381" spans="1:18" x14ac:dyDescent="0.25">
      <c r="A381" s="27" t="str">
        <f>IF('Data Sheet'!A381="","",'Data Sheet'!A381)</f>
        <v/>
      </c>
      <c r="B381" s="28" t="str">
        <f>IF('Data Sheet'!B381="","",'Data Sheet'!B381)</f>
        <v/>
      </c>
      <c r="C381" s="28" t="str">
        <f>IF('Data Sheet'!C381="","",'Data Sheet'!C381)</f>
        <v/>
      </c>
      <c r="D381" s="28" t="str">
        <f>IF('Data Sheet'!D381="","",'Data Sheet'!D381)</f>
        <v/>
      </c>
      <c r="E381" s="29" t="str">
        <f t="shared" si="69"/>
        <v>C</v>
      </c>
      <c r="F381" s="51">
        <v>0</v>
      </c>
      <c r="G381" s="49">
        <f t="shared" si="70"/>
        <v>0</v>
      </c>
      <c r="H381" s="49">
        <f t="shared" si="71"/>
        <v>0</v>
      </c>
      <c r="I381" s="49">
        <f t="shared" si="72"/>
        <v>0</v>
      </c>
      <c r="J381" s="49">
        <f t="shared" si="73"/>
        <v>0</v>
      </c>
      <c r="K381" s="49">
        <f t="shared" si="74"/>
        <v>0</v>
      </c>
      <c r="L381" s="49">
        <f t="shared" si="75"/>
        <v>0</v>
      </c>
      <c r="M381" s="49">
        <f t="shared" si="76"/>
        <v>0</v>
      </c>
      <c r="N381" s="29" t="str">
        <f t="shared" si="66"/>
        <v/>
      </c>
      <c r="O381" s="29">
        <f t="shared" si="67"/>
        <v>0</v>
      </c>
      <c r="P381" s="29">
        <f t="shared" si="68"/>
        <v>0</v>
      </c>
      <c r="Q381" s="29">
        <f>IF(A381&lt;&gt;"",SUM(F$2:F381),Q380)</f>
        <v>8</v>
      </c>
      <c r="R381" s="30">
        <f t="shared" si="77"/>
        <v>0</v>
      </c>
    </row>
    <row r="382" spans="1:18" x14ac:dyDescent="0.25">
      <c r="A382" s="27" t="str">
        <f>IF('Data Sheet'!A382="","",'Data Sheet'!A382)</f>
        <v/>
      </c>
      <c r="B382" s="28" t="str">
        <f>IF('Data Sheet'!B382="","",'Data Sheet'!B382)</f>
        <v/>
      </c>
      <c r="C382" s="28" t="str">
        <f>IF('Data Sheet'!C382="","",'Data Sheet'!C382)</f>
        <v/>
      </c>
      <c r="D382" s="28" t="str">
        <f>IF('Data Sheet'!D382="","",'Data Sheet'!D382)</f>
        <v/>
      </c>
      <c r="E382" s="29" t="str">
        <f>IF(A382="","",IF(OR(A382="SF",A382="PF"),"F",IF(OR(A382="SG",A382="PG"),"G","C")))</f>
        <v/>
      </c>
      <c r="F382" s="51">
        <v>0</v>
      </c>
      <c r="G382" s="49">
        <f t="shared" si="70"/>
        <v>0</v>
      </c>
      <c r="H382" s="49">
        <f t="shared" si="71"/>
        <v>0</v>
      </c>
      <c r="I382" s="49">
        <f t="shared" si="72"/>
        <v>0</v>
      </c>
      <c r="J382" s="49">
        <f t="shared" si="73"/>
        <v>0</v>
      </c>
      <c r="K382" s="49">
        <f t="shared" si="74"/>
        <v>0</v>
      </c>
      <c r="L382" s="49">
        <f t="shared" si="75"/>
        <v>0</v>
      </c>
      <c r="M382" s="49">
        <f t="shared" si="76"/>
        <v>0</v>
      </c>
      <c r="N382" s="29" t="str">
        <f t="shared" si="66"/>
        <v/>
      </c>
      <c r="O382" s="29">
        <f t="shared" si="67"/>
        <v>0</v>
      </c>
      <c r="P382" s="29">
        <f t="shared" si="68"/>
        <v>0</v>
      </c>
      <c r="Q382" s="29">
        <f>IF(A382&lt;&gt;"",SUM(F$2:F382),Q381)</f>
        <v>8</v>
      </c>
      <c r="R382" s="30">
        <f t="shared" si="77"/>
        <v>0</v>
      </c>
    </row>
    <row r="383" spans="1:18" x14ac:dyDescent="0.25">
      <c r="A383" s="27" t="str">
        <f>IF('Data Sheet'!A383="","",'Data Sheet'!A383)</f>
        <v/>
      </c>
      <c r="B383" s="28" t="str">
        <f>IF('Data Sheet'!B383="","",'Data Sheet'!B383)</f>
        <v/>
      </c>
      <c r="C383" s="28" t="str">
        <f>IF('Data Sheet'!C383="","",'Data Sheet'!C383)</f>
        <v/>
      </c>
      <c r="D383" s="28" t="str">
        <f>IF('Data Sheet'!D383="","",'Data Sheet'!D383)</f>
        <v/>
      </c>
      <c r="E383" s="29" t="str">
        <f t="shared" ref="E383:E446" si="78">IF(A383="","",IF(OR(A383="SF",A383="PF"),"F",IF(OR(A383="SG",A383="PG"),"G","C")))</f>
        <v/>
      </c>
      <c r="F383" s="51">
        <v>0</v>
      </c>
      <c r="G383" s="49">
        <f t="shared" si="70"/>
        <v>0</v>
      </c>
      <c r="H383" s="49">
        <f t="shared" si="71"/>
        <v>0</v>
      </c>
      <c r="I383" s="49">
        <f t="shared" si="72"/>
        <v>0</v>
      </c>
      <c r="J383" s="49">
        <f t="shared" si="73"/>
        <v>0</v>
      </c>
      <c r="K383" s="49">
        <f t="shared" si="74"/>
        <v>0</v>
      </c>
      <c r="L383" s="49">
        <f t="shared" si="75"/>
        <v>0</v>
      </c>
      <c r="M383" s="49">
        <f t="shared" si="76"/>
        <v>0</v>
      </c>
      <c r="N383" s="29" t="str">
        <f t="shared" si="66"/>
        <v/>
      </c>
      <c r="O383" s="29">
        <f t="shared" si="67"/>
        <v>0</v>
      </c>
      <c r="P383" s="29">
        <f t="shared" si="68"/>
        <v>0</v>
      </c>
      <c r="Q383" s="29">
        <f>IF(A383&lt;&gt;"",SUM(F$2:F383),Q382)</f>
        <v>8</v>
      </c>
      <c r="R383" s="30">
        <f t="shared" si="77"/>
        <v>0</v>
      </c>
    </row>
    <row r="384" spans="1:18" x14ac:dyDescent="0.25">
      <c r="A384" s="27" t="str">
        <f>IF('Data Sheet'!A384="","",'Data Sheet'!A384)</f>
        <v/>
      </c>
      <c r="B384" s="28" t="str">
        <f>IF('Data Sheet'!B384="","",'Data Sheet'!B384)</f>
        <v/>
      </c>
      <c r="C384" s="28" t="str">
        <f>IF('Data Sheet'!C384="","",'Data Sheet'!C384)</f>
        <v/>
      </c>
      <c r="D384" s="28" t="str">
        <f>IF('Data Sheet'!D384="","",'Data Sheet'!D384)</f>
        <v/>
      </c>
      <c r="E384" s="29" t="str">
        <f t="shared" si="78"/>
        <v/>
      </c>
      <c r="F384" s="51">
        <v>0</v>
      </c>
      <c r="G384" s="49">
        <f t="shared" si="70"/>
        <v>0</v>
      </c>
      <c r="H384" s="49">
        <f t="shared" si="71"/>
        <v>0</v>
      </c>
      <c r="I384" s="49">
        <f t="shared" si="72"/>
        <v>0</v>
      </c>
      <c r="J384" s="49">
        <f t="shared" si="73"/>
        <v>0</v>
      </c>
      <c r="K384" s="49">
        <f t="shared" si="74"/>
        <v>0</v>
      </c>
      <c r="L384" s="49">
        <f t="shared" si="75"/>
        <v>0</v>
      </c>
      <c r="M384" s="49">
        <f t="shared" si="76"/>
        <v>0</v>
      </c>
      <c r="N384" s="29" t="str">
        <f t="shared" si="66"/>
        <v/>
      </c>
      <c r="O384" s="29">
        <f t="shared" si="67"/>
        <v>0</v>
      </c>
      <c r="P384" s="29">
        <f t="shared" si="68"/>
        <v>0</v>
      </c>
      <c r="Q384" s="29">
        <f>IF(A384&lt;&gt;"",SUM(F$2:F384),Q383)</f>
        <v>8</v>
      </c>
      <c r="R384" s="30">
        <f t="shared" si="77"/>
        <v>0</v>
      </c>
    </row>
    <row r="385" spans="1:18" x14ac:dyDescent="0.25">
      <c r="A385" s="27" t="str">
        <f>IF('Data Sheet'!A385="","",'Data Sheet'!A385)</f>
        <v/>
      </c>
      <c r="B385" s="28" t="str">
        <f>IF('Data Sheet'!B385="","",'Data Sheet'!B385)</f>
        <v/>
      </c>
      <c r="C385" s="28" t="str">
        <f>IF('Data Sheet'!C385="","",'Data Sheet'!C385)</f>
        <v/>
      </c>
      <c r="D385" s="28" t="str">
        <f>IF('Data Sheet'!D385="","",'Data Sheet'!D385)</f>
        <v/>
      </c>
      <c r="E385" s="29" t="str">
        <f t="shared" si="78"/>
        <v/>
      </c>
      <c r="F385" s="51">
        <v>0</v>
      </c>
      <c r="G385" s="49">
        <f t="shared" si="70"/>
        <v>0</v>
      </c>
      <c r="H385" s="49">
        <f t="shared" si="71"/>
        <v>0</v>
      </c>
      <c r="I385" s="49">
        <f t="shared" si="72"/>
        <v>0</v>
      </c>
      <c r="J385" s="49">
        <f t="shared" si="73"/>
        <v>0</v>
      </c>
      <c r="K385" s="49">
        <f t="shared" si="74"/>
        <v>0</v>
      </c>
      <c r="L385" s="49">
        <f t="shared" si="75"/>
        <v>0</v>
      </c>
      <c r="M385" s="49">
        <f t="shared" si="76"/>
        <v>0</v>
      </c>
      <c r="N385" s="29" t="str">
        <f t="shared" si="66"/>
        <v/>
      </c>
      <c r="O385" s="29">
        <f t="shared" si="67"/>
        <v>0</v>
      </c>
      <c r="P385" s="29">
        <f t="shared" si="68"/>
        <v>0</v>
      </c>
      <c r="Q385" s="29">
        <f>IF(A385&lt;&gt;"",SUM(F$2:F385),Q384)</f>
        <v>8</v>
      </c>
      <c r="R385" s="30">
        <f t="shared" si="77"/>
        <v>0</v>
      </c>
    </row>
    <row r="386" spans="1:18" x14ac:dyDescent="0.25">
      <c r="A386" s="27" t="str">
        <f>IF('Data Sheet'!A386="","",'Data Sheet'!A386)</f>
        <v/>
      </c>
      <c r="B386" s="28" t="str">
        <f>IF('Data Sheet'!B386="","",'Data Sheet'!B386)</f>
        <v/>
      </c>
      <c r="C386" s="28" t="str">
        <f>IF('Data Sheet'!C386="","",'Data Sheet'!C386)</f>
        <v/>
      </c>
      <c r="D386" s="28" t="str">
        <f>IF('Data Sheet'!D386="","",'Data Sheet'!D386)</f>
        <v/>
      </c>
      <c r="E386" s="29" t="str">
        <f t="shared" si="78"/>
        <v/>
      </c>
      <c r="F386" s="51">
        <v>0</v>
      </c>
      <c r="G386" s="49">
        <f t="shared" si="70"/>
        <v>0</v>
      </c>
      <c r="H386" s="49">
        <f t="shared" si="71"/>
        <v>0</v>
      </c>
      <c r="I386" s="49">
        <f t="shared" si="72"/>
        <v>0</v>
      </c>
      <c r="J386" s="49">
        <f t="shared" si="73"/>
        <v>0</v>
      </c>
      <c r="K386" s="49">
        <f t="shared" si="74"/>
        <v>0</v>
      </c>
      <c r="L386" s="49">
        <f t="shared" si="75"/>
        <v>0</v>
      </c>
      <c r="M386" s="49">
        <f t="shared" si="76"/>
        <v>0</v>
      </c>
      <c r="N386" s="29" t="str">
        <f t="shared" ref="N386:N449" si="79">IFERROR(VLOOKUP(B386,$U$16:$U$23,1,FALSE), "")</f>
        <v/>
      </c>
      <c r="O386" s="29">
        <f t="shared" ref="O386:O449" si="80">IF(A386="",0,IF(N386="",D386,D386*10))</f>
        <v>0</v>
      </c>
      <c r="P386" s="29">
        <f t="shared" ref="P386:P449" si="81">O386*F386</f>
        <v>0</v>
      </c>
      <c r="Q386" s="29">
        <f>IF(A386&lt;&gt;"",SUM(F$2:F386),Q385)</f>
        <v>8</v>
      </c>
      <c r="R386" s="30">
        <f t="shared" si="77"/>
        <v>0</v>
      </c>
    </row>
    <row r="387" spans="1:18" x14ac:dyDescent="0.25">
      <c r="A387" s="27" t="str">
        <f>IF('Data Sheet'!A387="","",'Data Sheet'!A387)</f>
        <v/>
      </c>
      <c r="B387" s="28" t="str">
        <f>IF('Data Sheet'!B387="","",'Data Sheet'!B387)</f>
        <v/>
      </c>
      <c r="C387" s="28" t="str">
        <f>IF('Data Sheet'!C387="","",'Data Sheet'!C387)</f>
        <v/>
      </c>
      <c r="D387" s="28" t="str">
        <f>IF('Data Sheet'!D387="","",'Data Sheet'!D387)</f>
        <v/>
      </c>
      <c r="E387" s="29" t="str">
        <f t="shared" si="78"/>
        <v/>
      </c>
      <c r="F387" s="51">
        <v>0</v>
      </c>
      <c r="G387" s="49">
        <f t="shared" ref="G387:G450" si="82">IF(A387="SF",1,0)</f>
        <v>0</v>
      </c>
      <c r="H387" s="49">
        <f t="shared" ref="H387:H450" si="83">IF(A387="SG",1,0)</f>
        <v>0</v>
      </c>
      <c r="I387" s="49">
        <f t="shared" ref="I387:I450" si="84">IF(A387="C",1,0)</f>
        <v>0</v>
      </c>
      <c r="J387" s="49">
        <f t="shared" ref="J387:J450" si="85">IF(A387="PG",1,0)</f>
        <v>0</v>
      </c>
      <c r="K387" s="49">
        <f t="shared" ref="K387:K450" si="86">IF(A387="PF",1,0)</f>
        <v>0</v>
      </c>
      <c r="L387" s="49">
        <f t="shared" ref="L387:L450" si="87">IF(E387="G",1,0)</f>
        <v>0</v>
      </c>
      <c r="M387" s="49">
        <f t="shared" ref="M387:M450" si="88">IF(E387="F",1,0)</f>
        <v>0</v>
      </c>
      <c r="N387" s="29" t="str">
        <f t="shared" si="79"/>
        <v/>
      </c>
      <c r="O387" s="29">
        <f t="shared" si="80"/>
        <v>0</v>
      </c>
      <c r="P387" s="29">
        <f t="shared" si="81"/>
        <v>0</v>
      </c>
      <c r="Q387" s="29">
        <f>IF(A387&lt;&gt;"",SUM(F$2:F387),Q386)</f>
        <v>8</v>
      </c>
      <c r="R387" s="30">
        <f t="shared" si="77"/>
        <v>0</v>
      </c>
    </row>
    <row r="388" spans="1:18" x14ac:dyDescent="0.25">
      <c r="A388" s="27" t="str">
        <f>IF('Data Sheet'!A388="","",'Data Sheet'!A388)</f>
        <v/>
      </c>
      <c r="B388" s="28" t="str">
        <f>IF('Data Sheet'!B388="","",'Data Sheet'!B388)</f>
        <v/>
      </c>
      <c r="C388" s="28" t="str">
        <f>IF('Data Sheet'!C388="","",'Data Sheet'!C388)</f>
        <v/>
      </c>
      <c r="D388" s="28" t="str">
        <f>IF('Data Sheet'!D388="","",'Data Sheet'!D388)</f>
        <v/>
      </c>
      <c r="E388" s="29" t="str">
        <f t="shared" si="78"/>
        <v/>
      </c>
      <c r="F388" s="51">
        <v>0</v>
      </c>
      <c r="G388" s="49">
        <f t="shared" si="82"/>
        <v>0</v>
      </c>
      <c r="H388" s="49">
        <f t="shared" si="83"/>
        <v>0</v>
      </c>
      <c r="I388" s="49">
        <f t="shared" si="84"/>
        <v>0</v>
      </c>
      <c r="J388" s="49">
        <f t="shared" si="85"/>
        <v>0</v>
      </c>
      <c r="K388" s="49">
        <f t="shared" si="86"/>
        <v>0</v>
      </c>
      <c r="L388" s="49">
        <f t="shared" si="87"/>
        <v>0</v>
      </c>
      <c r="M388" s="49">
        <f t="shared" si="88"/>
        <v>0</v>
      </c>
      <c r="N388" s="29" t="str">
        <f t="shared" si="79"/>
        <v/>
      </c>
      <c r="O388" s="29">
        <f t="shared" si="80"/>
        <v>0</v>
      </c>
      <c r="P388" s="29">
        <f t="shared" si="81"/>
        <v>0</v>
      </c>
      <c r="Q388" s="29">
        <f>IF(A388&lt;&gt;"",SUM(F$2:F388),Q387)</f>
        <v>8</v>
      </c>
      <c r="R388" s="30">
        <f t="shared" ref="R388:R451" si="89">IF(Q388=Q387,0,Q388)</f>
        <v>0</v>
      </c>
    </row>
    <row r="389" spans="1:18" x14ac:dyDescent="0.25">
      <c r="A389" s="27" t="str">
        <f>IF('Data Sheet'!A389="","",'Data Sheet'!A389)</f>
        <v/>
      </c>
      <c r="B389" s="28" t="str">
        <f>IF('Data Sheet'!B389="","",'Data Sheet'!B389)</f>
        <v/>
      </c>
      <c r="C389" s="28" t="str">
        <f>IF('Data Sheet'!C389="","",'Data Sheet'!C389)</f>
        <v/>
      </c>
      <c r="D389" s="28" t="str">
        <f>IF('Data Sheet'!D389="","",'Data Sheet'!D389)</f>
        <v/>
      </c>
      <c r="E389" s="29" t="str">
        <f t="shared" si="78"/>
        <v/>
      </c>
      <c r="F389" s="51">
        <v>0</v>
      </c>
      <c r="G389" s="49">
        <f t="shared" si="82"/>
        <v>0</v>
      </c>
      <c r="H389" s="49">
        <f t="shared" si="83"/>
        <v>0</v>
      </c>
      <c r="I389" s="49">
        <f t="shared" si="84"/>
        <v>0</v>
      </c>
      <c r="J389" s="49">
        <f t="shared" si="85"/>
        <v>0</v>
      </c>
      <c r="K389" s="49">
        <f t="shared" si="86"/>
        <v>0</v>
      </c>
      <c r="L389" s="49">
        <f t="shared" si="87"/>
        <v>0</v>
      </c>
      <c r="M389" s="49">
        <f t="shared" si="88"/>
        <v>0</v>
      </c>
      <c r="N389" s="29" t="str">
        <f t="shared" si="79"/>
        <v/>
      </c>
      <c r="O389" s="29">
        <f t="shared" si="80"/>
        <v>0</v>
      </c>
      <c r="P389" s="29">
        <f t="shared" si="81"/>
        <v>0</v>
      </c>
      <c r="Q389" s="29">
        <f>IF(A389&lt;&gt;"",SUM(F$2:F389),Q388)</f>
        <v>8</v>
      </c>
      <c r="R389" s="30">
        <f t="shared" si="89"/>
        <v>0</v>
      </c>
    </row>
    <row r="390" spans="1:18" x14ac:dyDescent="0.25">
      <c r="A390" s="27" t="str">
        <f>IF('Data Sheet'!A390="","",'Data Sheet'!A390)</f>
        <v/>
      </c>
      <c r="B390" s="28" t="str">
        <f>IF('Data Sheet'!B390="","",'Data Sheet'!B390)</f>
        <v/>
      </c>
      <c r="C390" s="28" t="str">
        <f>IF('Data Sheet'!C390="","",'Data Sheet'!C390)</f>
        <v/>
      </c>
      <c r="D390" s="28" t="str">
        <f>IF('Data Sheet'!D390="","",'Data Sheet'!D390)</f>
        <v/>
      </c>
      <c r="E390" s="29" t="str">
        <f t="shared" si="78"/>
        <v/>
      </c>
      <c r="F390" s="51">
        <v>0</v>
      </c>
      <c r="G390" s="49">
        <f t="shared" si="82"/>
        <v>0</v>
      </c>
      <c r="H390" s="49">
        <f t="shared" si="83"/>
        <v>0</v>
      </c>
      <c r="I390" s="49">
        <f t="shared" si="84"/>
        <v>0</v>
      </c>
      <c r="J390" s="49">
        <f t="shared" si="85"/>
        <v>0</v>
      </c>
      <c r="K390" s="49">
        <f t="shared" si="86"/>
        <v>0</v>
      </c>
      <c r="L390" s="49">
        <f t="shared" si="87"/>
        <v>0</v>
      </c>
      <c r="M390" s="49">
        <f t="shared" si="88"/>
        <v>0</v>
      </c>
      <c r="N390" s="29" t="str">
        <f t="shared" si="79"/>
        <v/>
      </c>
      <c r="O390" s="29">
        <f t="shared" si="80"/>
        <v>0</v>
      </c>
      <c r="P390" s="29">
        <f t="shared" si="81"/>
        <v>0</v>
      </c>
      <c r="Q390" s="29">
        <f>IF(A390&lt;&gt;"",SUM(F$2:F390),Q389)</f>
        <v>8</v>
      </c>
      <c r="R390" s="30">
        <f t="shared" si="89"/>
        <v>0</v>
      </c>
    </row>
    <row r="391" spans="1:18" x14ac:dyDescent="0.25">
      <c r="A391" s="27" t="str">
        <f>IF('Data Sheet'!A391="","",'Data Sheet'!A391)</f>
        <v/>
      </c>
      <c r="B391" s="28" t="str">
        <f>IF('Data Sheet'!B391="","",'Data Sheet'!B391)</f>
        <v/>
      </c>
      <c r="C391" s="28" t="str">
        <f>IF('Data Sheet'!C391="","",'Data Sheet'!C391)</f>
        <v/>
      </c>
      <c r="D391" s="28" t="str">
        <f>IF('Data Sheet'!D391="","",'Data Sheet'!D391)</f>
        <v/>
      </c>
      <c r="E391" s="29" t="str">
        <f t="shared" si="78"/>
        <v/>
      </c>
      <c r="F391" s="51">
        <v>0</v>
      </c>
      <c r="G391" s="49">
        <f t="shared" si="82"/>
        <v>0</v>
      </c>
      <c r="H391" s="49">
        <f t="shared" si="83"/>
        <v>0</v>
      </c>
      <c r="I391" s="49">
        <f t="shared" si="84"/>
        <v>0</v>
      </c>
      <c r="J391" s="49">
        <f t="shared" si="85"/>
        <v>0</v>
      </c>
      <c r="K391" s="49">
        <f t="shared" si="86"/>
        <v>0</v>
      </c>
      <c r="L391" s="49">
        <f t="shared" si="87"/>
        <v>0</v>
      </c>
      <c r="M391" s="49">
        <f t="shared" si="88"/>
        <v>0</v>
      </c>
      <c r="N391" s="29" t="str">
        <f t="shared" si="79"/>
        <v/>
      </c>
      <c r="O391" s="29">
        <f t="shared" si="80"/>
        <v>0</v>
      </c>
      <c r="P391" s="29">
        <f t="shared" si="81"/>
        <v>0</v>
      </c>
      <c r="Q391" s="29">
        <f>IF(A391&lt;&gt;"",SUM(F$2:F391),Q390)</f>
        <v>8</v>
      </c>
      <c r="R391" s="30">
        <f t="shared" si="89"/>
        <v>0</v>
      </c>
    </row>
    <row r="392" spans="1:18" x14ac:dyDescent="0.25">
      <c r="A392" s="27" t="str">
        <f>IF('Data Sheet'!A392="","",'Data Sheet'!A392)</f>
        <v/>
      </c>
      <c r="B392" s="28" t="str">
        <f>IF('Data Sheet'!B392="","",'Data Sheet'!B392)</f>
        <v/>
      </c>
      <c r="C392" s="28" t="str">
        <f>IF('Data Sheet'!C392="","",'Data Sheet'!C392)</f>
        <v/>
      </c>
      <c r="D392" s="28" t="str">
        <f>IF('Data Sheet'!D392="","",'Data Sheet'!D392)</f>
        <v/>
      </c>
      <c r="E392" s="29" t="str">
        <f t="shared" si="78"/>
        <v/>
      </c>
      <c r="F392" s="51">
        <v>0</v>
      </c>
      <c r="G392" s="49">
        <f t="shared" si="82"/>
        <v>0</v>
      </c>
      <c r="H392" s="49">
        <f t="shared" si="83"/>
        <v>0</v>
      </c>
      <c r="I392" s="49">
        <f t="shared" si="84"/>
        <v>0</v>
      </c>
      <c r="J392" s="49">
        <f t="shared" si="85"/>
        <v>0</v>
      </c>
      <c r="K392" s="49">
        <f t="shared" si="86"/>
        <v>0</v>
      </c>
      <c r="L392" s="49">
        <f t="shared" si="87"/>
        <v>0</v>
      </c>
      <c r="M392" s="49">
        <f t="shared" si="88"/>
        <v>0</v>
      </c>
      <c r="N392" s="29" t="str">
        <f t="shared" si="79"/>
        <v/>
      </c>
      <c r="O392" s="29">
        <f t="shared" si="80"/>
        <v>0</v>
      </c>
      <c r="P392" s="29">
        <f t="shared" si="81"/>
        <v>0</v>
      </c>
      <c r="Q392" s="29">
        <f>IF(A392&lt;&gt;"",SUM(F$2:F392),Q391)</f>
        <v>8</v>
      </c>
      <c r="R392" s="30">
        <f t="shared" si="89"/>
        <v>0</v>
      </c>
    </row>
    <row r="393" spans="1:18" x14ac:dyDescent="0.25">
      <c r="A393" s="27" t="str">
        <f>IF('Data Sheet'!A393="","",'Data Sheet'!A393)</f>
        <v/>
      </c>
      <c r="B393" s="28" t="str">
        <f>IF('Data Sheet'!B393="","",'Data Sheet'!B393)</f>
        <v/>
      </c>
      <c r="C393" s="28" t="str">
        <f>IF('Data Sheet'!C393="","",'Data Sheet'!C393)</f>
        <v/>
      </c>
      <c r="D393" s="28" t="str">
        <f>IF('Data Sheet'!D393="","",'Data Sheet'!D393)</f>
        <v/>
      </c>
      <c r="E393" s="29" t="str">
        <f t="shared" si="78"/>
        <v/>
      </c>
      <c r="F393" s="51">
        <v>0</v>
      </c>
      <c r="G393" s="49">
        <f t="shared" si="82"/>
        <v>0</v>
      </c>
      <c r="H393" s="49">
        <f t="shared" si="83"/>
        <v>0</v>
      </c>
      <c r="I393" s="49">
        <f t="shared" si="84"/>
        <v>0</v>
      </c>
      <c r="J393" s="49">
        <f t="shared" si="85"/>
        <v>0</v>
      </c>
      <c r="K393" s="49">
        <f t="shared" si="86"/>
        <v>0</v>
      </c>
      <c r="L393" s="49">
        <f t="shared" si="87"/>
        <v>0</v>
      </c>
      <c r="M393" s="49">
        <f t="shared" si="88"/>
        <v>0</v>
      </c>
      <c r="N393" s="29" t="str">
        <f t="shared" si="79"/>
        <v/>
      </c>
      <c r="O393" s="29">
        <f t="shared" si="80"/>
        <v>0</v>
      </c>
      <c r="P393" s="29">
        <f t="shared" si="81"/>
        <v>0</v>
      </c>
      <c r="Q393" s="29">
        <f>IF(A393&lt;&gt;"",SUM(F$2:F393),Q392)</f>
        <v>8</v>
      </c>
      <c r="R393" s="30">
        <f t="shared" si="89"/>
        <v>0</v>
      </c>
    </row>
    <row r="394" spans="1:18" x14ac:dyDescent="0.25">
      <c r="A394" s="27" t="str">
        <f>IF('Data Sheet'!A394="","",'Data Sheet'!A394)</f>
        <v/>
      </c>
      <c r="B394" s="28" t="str">
        <f>IF('Data Sheet'!B394="","",'Data Sheet'!B394)</f>
        <v/>
      </c>
      <c r="C394" s="28" t="str">
        <f>IF('Data Sheet'!C394="","",'Data Sheet'!C394)</f>
        <v/>
      </c>
      <c r="D394" s="28" t="str">
        <f>IF('Data Sheet'!D394="","",'Data Sheet'!D394)</f>
        <v/>
      </c>
      <c r="E394" s="29" t="str">
        <f t="shared" si="78"/>
        <v/>
      </c>
      <c r="F394" s="51">
        <v>0</v>
      </c>
      <c r="G394" s="49">
        <f t="shared" si="82"/>
        <v>0</v>
      </c>
      <c r="H394" s="49">
        <f t="shared" si="83"/>
        <v>0</v>
      </c>
      <c r="I394" s="49">
        <f t="shared" si="84"/>
        <v>0</v>
      </c>
      <c r="J394" s="49">
        <f t="shared" si="85"/>
        <v>0</v>
      </c>
      <c r="K394" s="49">
        <f t="shared" si="86"/>
        <v>0</v>
      </c>
      <c r="L394" s="49">
        <f t="shared" si="87"/>
        <v>0</v>
      </c>
      <c r="M394" s="49">
        <f t="shared" si="88"/>
        <v>0</v>
      </c>
      <c r="N394" s="29" t="str">
        <f t="shared" si="79"/>
        <v/>
      </c>
      <c r="O394" s="29">
        <f t="shared" si="80"/>
        <v>0</v>
      </c>
      <c r="P394" s="29">
        <f t="shared" si="81"/>
        <v>0</v>
      </c>
      <c r="Q394" s="29">
        <f>IF(A394&lt;&gt;"",SUM(F$2:F394),Q393)</f>
        <v>8</v>
      </c>
      <c r="R394" s="30">
        <f t="shared" si="89"/>
        <v>0</v>
      </c>
    </row>
    <row r="395" spans="1:18" x14ac:dyDescent="0.25">
      <c r="A395" s="27" t="str">
        <f>IF('Data Sheet'!A395="","",'Data Sheet'!A395)</f>
        <v/>
      </c>
      <c r="B395" s="28" t="str">
        <f>IF('Data Sheet'!B395="","",'Data Sheet'!B395)</f>
        <v/>
      </c>
      <c r="C395" s="28" t="str">
        <f>IF('Data Sheet'!C395="","",'Data Sheet'!C395)</f>
        <v/>
      </c>
      <c r="D395" s="28" t="str">
        <f>IF('Data Sheet'!D395="","",'Data Sheet'!D395)</f>
        <v/>
      </c>
      <c r="E395" s="29" t="str">
        <f t="shared" si="78"/>
        <v/>
      </c>
      <c r="F395" s="51">
        <v>0</v>
      </c>
      <c r="G395" s="49">
        <f t="shared" si="82"/>
        <v>0</v>
      </c>
      <c r="H395" s="49">
        <f t="shared" si="83"/>
        <v>0</v>
      </c>
      <c r="I395" s="49">
        <f t="shared" si="84"/>
        <v>0</v>
      </c>
      <c r="J395" s="49">
        <f t="shared" si="85"/>
        <v>0</v>
      </c>
      <c r="K395" s="49">
        <f t="shared" si="86"/>
        <v>0</v>
      </c>
      <c r="L395" s="49">
        <f t="shared" si="87"/>
        <v>0</v>
      </c>
      <c r="M395" s="49">
        <f t="shared" si="88"/>
        <v>0</v>
      </c>
      <c r="N395" s="29" t="str">
        <f t="shared" si="79"/>
        <v/>
      </c>
      <c r="O395" s="29">
        <f t="shared" si="80"/>
        <v>0</v>
      </c>
      <c r="P395" s="29">
        <f t="shared" si="81"/>
        <v>0</v>
      </c>
      <c r="Q395" s="29">
        <f>IF(A395&lt;&gt;"",SUM(F$2:F395),Q394)</f>
        <v>8</v>
      </c>
      <c r="R395" s="30">
        <f t="shared" si="89"/>
        <v>0</v>
      </c>
    </row>
    <row r="396" spans="1:18" x14ac:dyDescent="0.25">
      <c r="A396" s="27" t="str">
        <f>IF('Data Sheet'!A396="","",'Data Sheet'!A396)</f>
        <v/>
      </c>
      <c r="B396" s="28" t="str">
        <f>IF('Data Sheet'!B396="","",'Data Sheet'!B396)</f>
        <v/>
      </c>
      <c r="C396" s="28" t="str">
        <f>IF('Data Sheet'!C396="","",'Data Sheet'!C396)</f>
        <v/>
      </c>
      <c r="D396" s="28" t="str">
        <f>IF('Data Sheet'!D396="","",'Data Sheet'!D396)</f>
        <v/>
      </c>
      <c r="E396" s="29" t="str">
        <f t="shared" si="78"/>
        <v/>
      </c>
      <c r="F396" s="51">
        <v>0</v>
      </c>
      <c r="G396" s="49">
        <f t="shared" si="82"/>
        <v>0</v>
      </c>
      <c r="H396" s="49">
        <f t="shared" si="83"/>
        <v>0</v>
      </c>
      <c r="I396" s="49">
        <f t="shared" si="84"/>
        <v>0</v>
      </c>
      <c r="J396" s="49">
        <f t="shared" si="85"/>
        <v>0</v>
      </c>
      <c r="K396" s="49">
        <f t="shared" si="86"/>
        <v>0</v>
      </c>
      <c r="L396" s="49">
        <f t="shared" si="87"/>
        <v>0</v>
      </c>
      <c r="M396" s="49">
        <f t="shared" si="88"/>
        <v>0</v>
      </c>
      <c r="N396" s="29" t="str">
        <f t="shared" si="79"/>
        <v/>
      </c>
      <c r="O396" s="29">
        <f t="shared" si="80"/>
        <v>0</v>
      </c>
      <c r="P396" s="29">
        <f t="shared" si="81"/>
        <v>0</v>
      </c>
      <c r="Q396" s="29">
        <f>IF(A396&lt;&gt;"",SUM(F$2:F396),Q395)</f>
        <v>8</v>
      </c>
      <c r="R396" s="30">
        <f t="shared" si="89"/>
        <v>0</v>
      </c>
    </row>
    <row r="397" spans="1:18" x14ac:dyDescent="0.25">
      <c r="A397" s="27" t="str">
        <f>IF('Data Sheet'!A397="","",'Data Sheet'!A397)</f>
        <v/>
      </c>
      <c r="B397" s="28" t="str">
        <f>IF('Data Sheet'!B397="","",'Data Sheet'!B397)</f>
        <v/>
      </c>
      <c r="C397" s="28" t="str">
        <f>IF('Data Sheet'!C397="","",'Data Sheet'!C397)</f>
        <v/>
      </c>
      <c r="D397" s="28" t="str">
        <f>IF('Data Sheet'!D397="","",'Data Sheet'!D397)</f>
        <v/>
      </c>
      <c r="E397" s="29" t="str">
        <f t="shared" si="78"/>
        <v/>
      </c>
      <c r="F397" s="51">
        <v>0</v>
      </c>
      <c r="G397" s="49">
        <f t="shared" si="82"/>
        <v>0</v>
      </c>
      <c r="H397" s="49">
        <f t="shared" si="83"/>
        <v>0</v>
      </c>
      <c r="I397" s="49">
        <f t="shared" si="84"/>
        <v>0</v>
      </c>
      <c r="J397" s="49">
        <f t="shared" si="85"/>
        <v>0</v>
      </c>
      <c r="K397" s="49">
        <f t="shared" si="86"/>
        <v>0</v>
      </c>
      <c r="L397" s="49">
        <f t="shared" si="87"/>
        <v>0</v>
      </c>
      <c r="M397" s="49">
        <f t="shared" si="88"/>
        <v>0</v>
      </c>
      <c r="N397" s="29" t="str">
        <f t="shared" si="79"/>
        <v/>
      </c>
      <c r="O397" s="29">
        <f t="shared" si="80"/>
        <v>0</v>
      </c>
      <c r="P397" s="29">
        <f t="shared" si="81"/>
        <v>0</v>
      </c>
      <c r="Q397" s="29">
        <f>IF(A397&lt;&gt;"",SUM(F$2:F397),Q396)</f>
        <v>8</v>
      </c>
      <c r="R397" s="30">
        <f t="shared" si="89"/>
        <v>0</v>
      </c>
    </row>
    <row r="398" spans="1:18" x14ac:dyDescent="0.25">
      <c r="A398" s="27" t="str">
        <f>IF('Data Sheet'!A398="","",'Data Sheet'!A398)</f>
        <v/>
      </c>
      <c r="B398" s="28" t="str">
        <f>IF('Data Sheet'!B398="","",'Data Sheet'!B398)</f>
        <v/>
      </c>
      <c r="C398" s="28" t="str">
        <f>IF('Data Sheet'!C398="","",'Data Sheet'!C398)</f>
        <v/>
      </c>
      <c r="D398" s="28" t="str">
        <f>IF('Data Sheet'!D398="","",'Data Sheet'!D398)</f>
        <v/>
      </c>
      <c r="E398" s="29" t="str">
        <f t="shared" si="78"/>
        <v/>
      </c>
      <c r="F398" s="51">
        <v>0</v>
      </c>
      <c r="G398" s="49">
        <f t="shared" si="82"/>
        <v>0</v>
      </c>
      <c r="H398" s="49">
        <f t="shared" si="83"/>
        <v>0</v>
      </c>
      <c r="I398" s="49">
        <f t="shared" si="84"/>
        <v>0</v>
      </c>
      <c r="J398" s="49">
        <f t="shared" si="85"/>
        <v>0</v>
      </c>
      <c r="K398" s="49">
        <f t="shared" si="86"/>
        <v>0</v>
      </c>
      <c r="L398" s="49">
        <f t="shared" si="87"/>
        <v>0</v>
      </c>
      <c r="M398" s="49">
        <f t="shared" si="88"/>
        <v>0</v>
      </c>
      <c r="N398" s="29" t="str">
        <f t="shared" si="79"/>
        <v/>
      </c>
      <c r="O398" s="29">
        <f t="shared" si="80"/>
        <v>0</v>
      </c>
      <c r="P398" s="29">
        <f t="shared" si="81"/>
        <v>0</v>
      </c>
      <c r="Q398" s="29">
        <f>IF(A398&lt;&gt;"",SUM(F$2:F398),Q397)</f>
        <v>8</v>
      </c>
      <c r="R398" s="30">
        <f t="shared" si="89"/>
        <v>0</v>
      </c>
    </row>
    <row r="399" spans="1:18" x14ac:dyDescent="0.25">
      <c r="A399" s="27" t="str">
        <f>IF('Data Sheet'!A399="","",'Data Sheet'!A399)</f>
        <v/>
      </c>
      <c r="B399" s="28" t="str">
        <f>IF('Data Sheet'!B399="","",'Data Sheet'!B399)</f>
        <v/>
      </c>
      <c r="C399" s="28" t="str">
        <f>IF('Data Sheet'!C399="","",'Data Sheet'!C399)</f>
        <v/>
      </c>
      <c r="D399" s="28" t="str">
        <f>IF('Data Sheet'!D399="","",'Data Sheet'!D399)</f>
        <v/>
      </c>
      <c r="E399" s="29" t="str">
        <f t="shared" si="78"/>
        <v/>
      </c>
      <c r="F399" s="51">
        <v>0</v>
      </c>
      <c r="G399" s="49">
        <f t="shared" si="82"/>
        <v>0</v>
      </c>
      <c r="H399" s="49">
        <f t="shared" si="83"/>
        <v>0</v>
      </c>
      <c r="I399" s="49">
        <f t="shared" si="84"/>
        <v>0</v>
      </c>
      <c r="J399" s="49">
        <f t="shared" si="85"/>
        <v>0</v>
      </c>
      <c r="K399" s="49">
        <f t="shared" si="86"/>
        <v>0</v>
      </c>
      <c r="L399" s="49">
        <f t="shared" si="87"/>
        <v>0</v>
      </c>
      <c r="M399" s="49">
        <f t="shared" si="88"/>
        <v>0</v>
      </c>
      <c r="N399" s="29" t="str">
        <f t="shared" si="79"/>
        <v/>
      </c>
      <c r="O399" s="29">
        <f t="shared" si="80"/>
        <v>0</v>
      </c>
      <c r="P399" s="29">
        <f t="shared" si="81"/>
        <v>0</v>
      </c>
      <c r="Q399" s="29">
        <f>IF(A399&lt;&gt;"",SUM(F$2:F399),Q398)</f>
        <v>8</v>
      </c>
      <c r="R399" s="30">
        <f t="shared" si="89"/>
        <v>0</v>
      </c>
    </row>
    <row r="400" spans="1:18" x14ac:dyDescent="0.25">
      <c r="A400" s="27" t="str">
        <f>IF('Data Sheet'!A400="","",'Data Sheet'!A400)</f>
        <v/>
      </c>
      <c r="B400" s="28" t="str">
        <f>IF('Data Sheet'!B400="","",'Data Sheet'!B400)</f>
        <v/>
      </c>
      <c r="C400" s="28" t="str">
        <f>IF('Data Sheet'!C400="","",'Data Sheet'!C400)</f>
        <v/>
      </c>
      <c r="D400" s="28" t="str">
        <f>IF('Data Sheet'!D400="","",'Data Sheet'!D400)</f>
        <v/>
      </c>
      <c r="E400" s="29" t="str">
        <f t="shared" si="78"/>
        <v/>
      </c>
      <c r="F400" s="51">
        <v>0</v>
      </c>
      <c r="G400" s="49">
        <f t="shared" si="82"/>
        <v>0</v>
      </c>
      <c r="H400" s="49">
        <f t="shared" si="83"/>
        <v>0</v>
      </c>
      <c r="I400" s="49">
        <f t="shared" si="84"/>
        <v>0</v>
      </c>
      <c r="J400" s="49">
        <f t="shared" si="85"/>
        <v>0</v>
      </c>
      <c r="K400" s="49">
        <f t="shared" si="86"/>
        <v>0</v>
      </c>
      <c r="L400" s="49">
        <f t="shared" si="87"/>
        <v>0</v>
      </c>
      <c r="M400" s="49">
        <f t="shared" si="88"/>
        <v>0</v>
      </c>
      <c r="N400" s="29" t="str">
        <f t="shared" si="79"/>
        <v/>
      </c>
      <c r="O400" s="29">
        <f t="shared" si="80"/>
        <v>0</v>
      </c>
      <c r="P400" s="29">
        <f t="shared" si="81"/>
        <v>0</v>
      </c>
      <c r="Q400" s="29">
        <f>IF(A400&lt;&gt;"",SUM(F$2:F400),Q399)</f>
        <v>8</v>
      </c>
      <c r="R400" s="30">
        <f t="shared" si="89"/>
        <v>0</v>
      </c>
    </row>
    <row r="401" spans="1:18" x14ac:dyDescent="0.25">
      <c r="A401" s="27" t="str">
        <f>IF('Data Sheet'!A401="","",'Data Sheet'!A401)</f>
        <v/>
      </c>
      <c r="B401" s="28" t="str">
        <f>IF('Data Sheet'!B401="","",'Data Sheet'!B401)</f>
        <v/>
      </c>
      <c r="C401" s="28" t="str">
        <f>IF('Data Sheet'!C401="","",'Data Sheet'!C401)</f>
        <v/>
      </c>
      <c r="D401" s="28" t="str">
        <f>IF('Data Sheet'!D401="","",'Data Sheet'!D401)</f>
        <v/>
      </c>
      <c r="E401" s="29" t="str">
        <f t="shared" si="78"/>
        <v/>
      </c>
      <c r="F401" s="51">
        <v>0</v>
      </c>
      <c r="G401" s="49">
        <f t="shared" si="82"/>
        <v>0</v>
      </c>
      <c r="H401" s="49">
        <f t="shared" si="83"/>
        <v>0</v>
      </c>
      <c r="I401" s="49">
        <f t="shared" si="84"/>
        <v>0</v>
      </c>
      <c r="J401" s="49">
        <f t="shared" si="85"/>
        <v>0</v>
      </c>
      <c r="K401" s="49">
        <f t="shared" si="86"/>
        <v>0</v>
      </c>
      <c r="L401" s="49">
        <f t="shared" si="87"/>
        <v>0</v>
      </c>
      <c r="M401" s="49">
        <f t="shared" si="88"/>
        <v>0</v>
      </c>
      <c r="N401" s="29" t="str">
        <f t="shared" si="79"/>
        <v/>
      </c>
      <c r="O401" s="29">
        <f t="shared" si="80"/>
        <v>0</v>
      </c>
      <c r="P401" s="29">
        <f t="shared" si="81"/>
        <v>0</v>
      </c>
      <c r="Q401" s="29">
        <f>IF(A401&lt;&gt;"",SUM(F$2:F401),Q400)</f>
        <v>8</v>
      </c>
      <c r="R401" s="30">
        <f t="shared" si="89"/>
        <v>0</v>
      </c>
    </row>
    <row r="402" spans="1:18" x14ac:dyDescent="0.25">
      <c r="A402" s="27" t="str">
        <f>IF('Data Sheet'!A402="","",'Data Sheet'!A402)</f>
        <v/>
      </c>
      <c r="B402" s="28" t="str">
        <f>IF('Data Sheet'!B402="","",'Data Sheet'!B402)</f>
        <v/>
      </c>
      <c r="C402" s="28" t="str">
        <f>IF('Data Sheet'!C402="","",'Data Sheet'!C402)</f>
        <v/>
      </c>
      <c r="D402" s="28" t="str">
        <f>IF('Data Sheet'!D402="","",'Data Sheet'!D402)</f>
        <v/>
      </c>
      <c r="E402" s="29" t="str">
        <f t="shared" si="78"/>
        <v/>
      </c>
      <c r="F402" s="51">
        <v>0</v>
      </c>
      <c r="G402" s="49">
        <f t="shared" si="82"/>
        <v>0</v>
      </c>
      <c r="H402" s="49">
        <f t="shared" si="83"/>
        <v>0</v>
      </c>
      <c r="I402" s="49">
        <f t="shared" si="84"/>
        <v>0</v>
      </c>
      <c r="J402" s="49">
        <f t="shared" si="85"/>
        <v>0</v>
      </c>
      <c r="K402" s="49">
        <f t="shared" si="86"/>
        <v>0</v>
      </c>
      <c r="L402" s="49">
        <f t="shared" si="87"/>
        <v>0</v>
      </c>
      <c r="M402" s="49">
        <f t="shared" si="88"/>
        <v>0</v>
      </c>
      <c r="N402" s="29" t="str">
        <f t="shared" si="79"/>
        <v/>
      </c>
      <c r="O402" s="29">
        <f t="shared" si="80"/>
        <v>0</v>
      </c>
      <c r="P402" s="29">
        <f t="shared" si="81"/>
        <v>0</v>
      </c>
      <c r="Q402" s="29">
        <f>IF(A402&lt;&gt;"",SUM(F$2:F402),Q401)</f>
        <v>8</v>
      </c>
      <c r="R402" s="30">
        <f t="shared" si="89"/>
        <v>0</v>
      </c>
    </row>
    <row r="403" spans="1:18" x14ac:dyDescent="0.25">
      <c r="A403" s="27" t="str">
        <f>IF('Data Sheet'!A403="","",'Data Sheet'!A403)</f>
        <v/>
      </c>
      <c r="B403" s="28" t="str">
        <f>IF('Data Sheet'!B403="","",'Data Sheet'!B403)</f>
        <v/>
      </c>
      <c r="C403" s="28" t="str">
        <f>IF('Data Sheet'!C403="","",'Data Sheet'!C403)</f>
        <v/>
      </c>
      <c r="D403" s="28" t="str">
        <f>IF('Data Sheet'!D403="","",'Data Sheet'!D403)</f>
        <v/>
      </c>
      <c r="E403" s="29" t="str">
        <f t="shared" si="78"/>
        <v/>
      </c>
      <c r="F403" s="51">
        <v>0</v>
      </c>
      <c r="G403" s="49">
        <f t="shared" si="82"/>
        <v>0</v>
      </c>
      <c r="H403" s="49">
        <f t="shared" si="83"/>
        <v>0</v>
      </c>
      <c r="I403" s="49">
        <f t="shared" si="84"/>
        <v>0</v>
      </c>
      <c r="J403" s="49">
        <f t="shared" si="85"/>
        <v>0</v>
      </c>
      <c r="K403" s="49">
        <f t="shared" si="86"/>
        <v>0</v>
      </c>
      <c r="L403" s="49">
        <f t="shared" si="87"/>
        <v>0</v>
      </c>
      <c r="M403" s="49">
        <f t="shared" si="88"/>
        <v>0</v>
      </c>
      <c r="N403" s="29" t="str">
        <f t="shared" si="79"/>
        <v/>
      </c>
      <c r="O403" s="29">
        <f t="shared" si="80"/>
        <v>0</v>
      </c>
      <c r="P403" s="29">
        <f t="shared" si="81"/>
        <v>0</v>
      </c>
      <c r="Q403" s="29">
        <f>IF(A403&lt;&gt;"",SUM(F$2:F403),Q402)</f>
        <v>8</v>
      </c>
      <c r="R403" s="30">
        <f t="shared" si="89"/>
        <v>0</v>
      </c>
    </row>
    <row r="404" spans="1:18" x14ac:dyDescent="0.25">
      <c r="A404" s="27" t="str">
        <f>IF('Data Sheet'!A404="","",'Data Sheet'!A404)</f>
        <v/>
      </c>
      <c r="B404" s="28" t="str">
        <f>IF('Data Sheet'!B404="","",'Data Sheet'!B404)</f>
        <v/>
      </c>
      <c r="C404" s="28" t="str">
        <f>IF('Data Sheet'!C404="","",'Data Sheet'!C404)</f>
        <v/>
      </c>
      <c r="D404" s="28" t="str">
        <f>IF('Data Sheet'!D404="","",'Data Sheet'!D404)</f>
        <v/>
      </c>
      <c r="E404" s="29" t="str">
        <f t="shared" si="78"/>
        <v/>
      </c>
      <c r="F404" s="51">
        <v>0</v>
      </c>
      <c r="G404" s="49">
        <f t="shared" si="82"/>
        <v>0</v>
      </c>
      <c r="H404" s="49">
        <f t="shared" si="83"/>
        <v>0</v>
      </c>
      <c r="I404" s="49">
        <f t="shared" si="84"/>
        <v>0</v>
      </c>
      <c r="J404" s="49">
        <f t="shared" si="85"/>
        <v>0</v>
      </c>
      <c r="K404" s="49">
        <f t="shared" si="86"/>
        <v>0</v>
      </c>
      <c r="L404" s="49">
        <f t="shared" si="87"/>
        <v>0</v>
      </c>
      <c r="M404" s="49">
        <f t="shared" si="88"/>
        <v>0</v>
      </c>
      <c r="N404" s="29" t="str">
        <f t="shared" si="79"/>
        <v/>
      </c>
      <c r="O404" s="29">
        <f t="shared" si="80"/>
        <v>0</v>
      </c>
      <c r="P404" s="29">
        <f t="shared" si="81"/>
        <v>0</v>
      </c>
      <c r="Q404" s="29">
        <f>IF(A404&lt;&gt;"",SUM(F$2:F404),Q403)</f>
        <v>8</v>
      </c>
      <c r="R404" s="30">
        <f t="shared" si="89"/>
        <v>0</v>
      </c>
    </row>
    <row r="405" spans="1:18" x14ac:dyDescent="0.25">
      <c r="A405" s="27" t="str">
        <f>IF('Data Sheet'!A405="","",'Data Sheet'!A405)</f>
        <v/>
      </c>
      <c r="B405" s="28" t="str">
        <f>IF('Data Sheet'!B405="","",'Data Sheet'!B405)</f>
        <v/>
      </c>
      <c r="C405" s="28" t="str">
        <f>IF('Data Sheet'!C405="","",'Data Sheet'!C405)</f>
        <v/>
      </c>
      <c r="D405" s="28" t="str">
        <f>IF('Data Sheet'!D405="","",'Data Sheet'!D405)</f>
        <v/>
      </c>
      <c r="E405" s="29" t="str">
        <f t="shared" si="78"/>
        <v/>
      </c>
      <c r="F405" s="51">
        <v>0</v>
      </c>
      <c r="G405" s="49">
        <f t="shared" si="82"/>
        <v>0</v>
      </c>
      <c r="H405" s="49">
        <f t="shared" si="83"/>
        <v>0</v>
      </c>
      <c r="I405" s="49">
        <f t="shared" si="84"/>
        <v>0</v>
      </c>
      <c r="J405" s="49">
        <f t="shared" si="85"/>
        <v>0</v>
      </c>
      <c r="K405" s="49">
        <f t="shared" si="86"/>
        <v>0</v>
      </c>
      <c r="L405" s="49">
        <f t="shared" si="87"/>
        <v>0</v>
      </c>
      <c r="M405" s="49">
        <f t="shared" si="88"/>
        <v>0</v>
      </c>
      <c r="N405" s="29" t="str">
        <f t="shared" si="79"/>
        <v/>
      </c>
      <c r="O405" s="29">
        <f t="shared" si="80"/>
        <v>0</v>
      </c>
      <c r="P405" s="29">
        <f t="shared" si="81"/>
        <v>0</v>
      </c>
      <c r="Q405" s="29">
        <f>IF(A405&lt;&gt;"",SUM(F$2:F405),Q404)</f>
        <v>8</v>
      </c>
      <c r="R405" s="30">
        <f t="shared" si="89"/>
        <v>0</v>
      </c>
    </row>
    <row r="406" spans="1:18" x14ac:dyDescent="0.25">
      <c r="A406" s="27" t="str">
        <f>IF('Data Sheet'!A406="","",'Data Sheet'!A406)</f>
        <v/>
      </c>
      <c r="B406" s="28" t="str">
        <f>IF('Data Sheet'!B406="","",'Data Sheet'!B406)</f>
        <v/>
      </c>
      <c r="C406" s="28" t="str">
        <f>IF('Data Sheet'!C406="","",'Data Sheet'!C406)</f>
        <v/>
      </c>
      <c r="D406" s="28" t="str">
        <f>IF('Data Sheet'!D406="","",'Data Sheet'!D406)</f>
        <v/>
      </c>
      <c r="E406" s="29" t="str">
        <f t="shared" si="78"/>
        <v/>
      </c>
      <c r="F406" s="51">
        <v>0</v>
      </c>
      <c r="G406" s="49">
        <f t="shared" si="82"/>
        <v>0</v>
      </c>
      <c r="H406" s="49">
        <f t="shared" si="83"/>
        <v>0</v>
      </c>
      <c r="I406" s="49">
        <f t="shared" si="84"/>
        <v>0</v>
      </c>
      <c r="J406" s="49">
        <f t="shared" si="85"/>
        <v>0</v>
      </c>
      <c r="K406" s="49">
        <f t="shared" si="86"/>
        <v>0</v>
      </c>
      <c r="L406" s="49">
        <f t="shared" si="87"/>
        <v>0</v>
      </c>
      <c r="M406" s="49">
        <f t="shared" si="88"/>
        <v>0</v>
      </c>
      <c r="N406" s="29" t="str">
        <f t="shared" si="79"/>
        <v/>
      </c>
      <c r="O406" s="29">
        <f t="shared" si="80"/>
        <v>0</v>
      </c>
      <c r="P406" s="29">
        <f t="shared" si="81"/>
        <v>0</v>
      </c>
      <c r="Q406" s="29">
        <f>IF(A406&lt;&gt;"",SUM(F$2:F406),Q405)</f>
        <v>8</v>
      </c>
      <c r="R406" s="30">
        <f t="shared" si="89"/>
        <v>0</v>
      </c>
    </row>
    <row r="407" spans="1:18" x14ac:dyDescent="0.25">
      <c r="A407" s="27" t="str">
        <f>IF('Data Sheet'!A407="","",'Data Sheet'!A407)</f>
        <v/>
      </c>
      <c r="B407" s="28" t="str">
        <f>IF('Data Sheet'!B407="","",'Data Sheet'!B407)</f>
        <v/>
      </c>
      <c r="C407" s="28" t="str">
        <f>IF('Data Sheet'!C407="","",'Data Sheet'!C407)</f>
        <v/>
      </c>
      <c r="D407" s="28" t="str">
        <f>IF('Data Sheet'!D407="","",'Data Sheet'!D407)</f>
        <v/>
      </c>
      <c r="E407" s="29" t="str">
        <f t="shared" si="78"/>
        <v/>
      </c>
      <c r="F407" s="51">
        <v>0</v>
      </c>
      <c r="G407" s="49">
        <f t="shared" si="82"/>
        <v>0</v>
      </c>
      <c r="H407" s="49">
        <f t="shared" si="83"/>
        <v>0</v>
      </c>
      <c r="I407" s="49">
        <f t="shared" si="84"/>
        <v>0</v>
      </c>
      <c r="J407" s="49">
        <f t="shared" si="85"/>
        <v>0</v>
      </c>
      <c r="K407" s="49">
        <f t="shared" si="86"/>
        <v>0</v>
      </c>
      <c r="L407" s="49">
        <f t="shared" si="87"/>
        <v>0</v>
      </c>
      <c r="M407" s="49">
        <f t="shared" si="88"/>
        <v>0</v>
      </c>
      <c r="N407" s="29" t="str">
        <f t="shared" si="79"/>
        <v/>
      </c>
      <c r="O407" s="29">
        <f t="shared" si="80"/>
        <v>0</v>
      </c>
      <c r="P407" s="29">
        <f t="shared" si="81"/>
        <v>0</v>
      </c>
      <c r="Q407" s="29">
        <f>IF(A407&lt;&gt;"",SUM(F$2:F407),Q406)</f>
        <v>8</v>
      </c>
      <c r="R407" s="30">
        <f t="shared" si="89"/>
        <v>0</v>
      </c>
    </row>
    <row r="408" spans="1:18" x14ac:dyDescent="0.25">
      <c r="A408" s="27" t="str">
        <f>IF('Data Sheet'!A408="","",'Data Sheet'!A408)</f>
        <v/>
      </c>
      <c r="B408" s="28" t="str">
        <f>IF('Data Sheet'!B408="","",'Data Sheet'!B408)</f>
        <v/>
      </c>
      <c r="C408" s="28" t="str">
        <f>IF('Data Sheet'!C408="","",'Data Sheet'!C408)</f>
        <v/>
      </c>
      <c r="D408" s="28" t="str">
        <f>IF('Data Sheet'!D408="","",'Data Sheet'!D408)</f>
        <v/>
      </c>
      <c r="E408" s="29" t="str">
        <f t="shared" si="78"/>
        <v/>
      </c>
      <c r="F408" s="51">
        <v>0</v>
      </c>
      <c r="G408" s="49">
        <f t="shared" si="82"/>
        <v>0</v>
      </c>
      <c r="H408" s="49">
        <f t="shared" si="83"/>
        <v>0</v>
      </c>
      <c r="I408" s="49">
        <f t="shared" si="84"/>
        <v>0</v>
      </c>
      <c r="J408" s="49">
        <f t="shared" si="85"/>
        <v>0</v>
      </c>
      <c r="K408" s="49">
        <f t="shared" si="86"/>
        <v>0</v>
      </c>
      <c r="L408" s="49">
        <f t="shared" si="87"/>
        <v>0</v>
      </c>
      <c r="M408" s="49">
        <f t="shared" si="88"/>
        <v>0</v>
      </c>
      <c r="N408" s="29" t="str">
        <f t="shared" si="79"/>
        <v/>
      </c>
      <c r="O408" s="29">
        <f t="shared" si="80"/>
        <v>0</v>
      </c>
      <c r="P408" s="29">
        <f t="shared" si="81"/>
        <v>0</v>
      </c>
      <c r="Q408" s="29">
        <f>IF(A408&lt;&gt;"",SUM(F$2:F408),Q407)</f>
        <v>8</v>
      </c>
      <c r="R408" s="30">
        <f t="shared" si="89"/>
        <v>0</v>
      </c>
    </row>
    <row r="409" spans="1:18" x14ac:dyDescent="0.25">
      <c r="A409" s="27" t="str">
        <f>IF('Data Sheet'!A409="","",'Data Sheet'!A409)</f>
        <v/>
      </c>
      <c r="B409" s="28" t="str">
        <f>IF('Data Sheet'!B409="","",'Data Sheet'!B409)</f>
        <v/>
      </c>
      <c r="C409" s="28" t="str">
        <f>IF('Data Sheet'!C409="","",'Data Sheet'!C409)</f>
        <v/>
      </c>
      <c r="D409" s="28" t="str">
        <f>IF('Data Sheet'!D409="","",'Data Sheet'!D409)</f>
        <v/>
      </c>
      <c r="E409" s="29" t="str">
        <f t="shared" si="78"/>
        <v/>
      </c>
      <c r="F409" s="51">
        <v>0</v>
      </c>
      <c r="G409" s="49">
        <f t="shared" si="82"/>
        <v>0</v>
      </c>
      <c r="H409" s="49">
        <f t="shared" si="83"/>
        <v>0</v>
      </c>
      <c r="I409" s="49">
        <f t="shared" si="84"/>
        <v>0</v>
      </c>
      <c r="J409" s="49">
        <f t="shared" si="85"/>
        <v>0</v>
      </c>
      <c r="K409" s="49">
        <f t="shared" si="86"/>
        <v>0</v>
      </c>
      <c r="L409" s="49">
        <f t="shared" si="87"/>
        <v>0</v>
      </c>
      <c r="M409" s="49">
        <f t="shared" si="88"/>
        <v>0</v>
      </c>
      <c r="N409" s="29" t="str">
        <f t="shared" si="79"/>
        <v/>
      </c>
      <c r="O409" s="29">
        <f t="shared" si="80"/>
        <v>0</v>
      </c>
      <c r="P409" s="29">
        <f t="shared" si="81"/>
        <v>0</v>
      </c>
      <c r="Q409" s="29">
        <f>IF(A409&lt;&gt;"",SUM(F$2:F409),Q408)</f>
        <v>8</v>
      </c>
      <c r="R409" s="30">
        <f t="shared" si="89"/>
        <v>0</v>
      </c>
    </row>
    <row r="410" spans="1:18" x14ac:dyDescent="0.25">
      <c r="A410" s="27" t="str">
        <f>IF('Data Sheet'!A410="","",'Data Sheet'!A410)</f>
        <v/>
      </c>
      <c r="B410" s="28" t="str">
        <f>IF('Data Sheet'!B410="","",'Data Sheet'!B410)</f>
        <v/>
      </c>
      <c r="C410" s="28" t="str">
        <f>IF('Data Sheet'!C410="","",'Data Sheet'!C410)</f>
        <v/>
      </c>
      <c r="D410" s="28" t="str">
        <f>IF('Data Sheet'!D410="","",'Data Sheet'!D410)</f>
        <v/>
      </c>
      <c r="E410" s="29" t="str">
        <f t="shared" si="78"/>
        <v/>
      </c>
      <c r="F410" s="51">
        <v>0</v>
      </c>
      <c r="G410" s="49">
        <f t="shared" si="82"/>
        <v>0</v>
      </c>
      <c r="H410" s="49">
        <f t="shared" si="83"/>
        <v>0</v>
      </c>
      <c r="I410" s="49">
        <f t="shared" si="84"/>
        <v>0</v>
      </c>
      <c r="J410" s="49">
        <f t="shared" si="85"/>
        <v>0</v>
      </c>
      <c r="K410" s="49">
        <f t="shared" si="86"/>
        <v>0</v>
      </c>
      <c r="L410" s="49">
        <f t="shared" si="87"/>
        <v>0</v>
      </c>
      <c r="M410" s="49">
        <f t="shared" si="88"/>
        <v>0</v>
      </c>
      <c r="N410" s="29" t="str">
        <f t="shared" si="79"/>
        <v/>
      </c>
      <c r="O410" s="29">
        <f t="shared" si="80"/>
        <v>0</v>
      </c>
      <c r="P410" s="29">
        <f t="shared" si="81"/>
        <v>0</v>
      </c>
      <c r="Q410" s="29">
        <f>IF(A410&lt;&gt;"",SUM(F$2:F410),Q409)</f>
        <v>8</v>
      </c>
      <c r="R410" s="30">
        <f t="shared" si="89"/>
        <v>0</v>
      </c>
    </row>
    <row r="411" spans="1:18" x14ac:dyDescent="0.25">
      <c r="A411" s="27" t="str">
        <f>IF('Data Sheet'!A411="","",'Data Sheet'!A411)</f>
        <v/>
      </c>
      <c r="B411" s="28" t="str">
        <f>IF('Data Sheet'!B411="","",'Data Sheet'!B411)</f>
        <v/>
      </c>
      <c r="C411" s="28" t="str">
        <f>IF('Data Sheet'!C411="","",'Data Sheet'!C411)</f>
        <v/>
      </c>
      <c r="D411" s="28" t="str">
        <f>IF('Data Sheet'!D411="","",'Data Sheet'!D411)</f>
        <v/>
      </c>
      <c r="E411" s="29" t="str">
        <f t="shared" si="78"/>
        <v/>
      </c>
      <c r="F411" s="51">
        <v>0</v>
      </c>
      <c r="G411" s="49">
        <f t="shared" si="82"/>
        <v>0</v>
      </c>
      <c r="H411" s="49">
        <f t="shared" si="83"/>
        <v>0</v>
      </c>
      <c r="I411" s="49">
        <f t="shared" si="84"/>
        <v>0</v>
      </c>
      <c r="J411" s="49">
        <f t="shared" si="85"/>
        <v>0</v>
      </c>
      <c r="K411" s="49">
        <f t="shared" si="86"/>
        <v>0</v>
      </c>
      <c r="L411" s="49">
        <f t="shared" si="87"/>
        <v>0</v>
      </c>
      <c r="M411" s="49">
        <f t="shared" si="88"/>
        <v>0</v>
      </c>
      <c r="N411" s="29" t="str">
        <f t="shared" si="79"/>
        <v/>
      </c>
      <c r="O411" s="29">
        <f t="shared" si="80"/>
        <v>0</v>
      </c>
      <c r="P411" s="29">
        <f t="shared" si="81"/>
        <v>0</v>
      </c>
      <c r="Q411" s="29">
        <f>IF(A411&lt;&gt;"",SUM(F$2:F411),Q410)</f>
        <v>8</v>
      </c>
      <c r="R411" s="30">
        <f t="shared" si="89"/>
        <v>0</v>
      </c>
    </row>
    <row r="412" spans="1:18" x14ac:dyDescent="0.25">
      <c r="A412" s="27" t="str">
        <f>IF('Data Sheet'!A412="","",'Data Sheet'!A412)</f>
        <v/>
      </c>
      <c r="B412" s="28" t="str">
        <f>IF('Data Sheet'!B412="","",'Data Sheet'!B412)</f>
        <v/>
      </c>
      <c r="C412" s="28" t="str">
        <f>IF('Data Sheet'!C412="","",'Data Sheet'!C412)</f>
        <v/>
      </c>
      <c r="D412" s="28" t="str">
        <f>IF('Data Sheet'!D412="","",'Data Sheet'!D412)</f>
        <v/>
      </c>
      <c r="E412" s="29" t="str">
        <f t="shared" si="78"/>
        <v/>
      </c>
      <c r="F412" s="51">
        <v>0</v>
      </c>
      <c r="G412" s="49">
        <f t="shared" si="82"/>
        <v>0</v>
      </c>
      <c r="H412" s="49">
        <f t="shared" si="83"/>
        <v>0</v>
      </c>
      <c r="I412" s="49">
        <f t="shared" si="84"/>
        <v>0</v>
      </c>
      <c r="J412" s="49">
        <f t="shared" si="85"/>
        <v>0</v>
      </c>
      <c r="K412" s="49">
        <f t="shared" si="86"/>
        <v>0</v>
      </c>
      <c r="L412" s="49">
        <f t="shared" si="87"/>
        <v>0</v>
      </c>
      <c r="M412" s="49">
        <f t="shared" si="88"/>
        <v>0</v>
      </c>
      <c r="N412" s="29" t="str">
        <f t="shared" si="79"/>
        <v/>
      </c>
      <c r="O412" s="29">
        <f t="shared" si="80"/>
        <v>0</v>
      </c>
      <c r="P412" s="29">
        <f t="shared" si="81"/>
        <v>0</v>
      </c>
      <c r="Q412" s="29">
        <f>IF(A412&lt;&gt;"",SUM(F$2:F412),Q411)</f>
        <v>8</v>
      </c>
      <c r="R412" s="30">
        <f t="shared" si="89"/>
        <v>0</v>
      </c>
    </row>
    <row r="413" spans="1:18" x14ac:dyDescent="0.25">
      <c r="A413" s="27" t="str">
        <f>IF('Data Sheet'!A413="","",'Data Sheet'!A413)</f>
        <v/>
      </c>
      <c r="B413" s="28" t="str">
        <f>IF('Data Sheet'!B413="","",'Data Sheet'!B413)</f>
        <v/>
      </c>
      <c r="C413" s="28" t="str">
        <f>IF('Data Sheet'!C413="","",'Data Sheet'!C413)</f>
        <v/>
      </c>
      <c r="D413" s="28" t="str">
        <f>IF('Data Sheet'!D413="","",'Data Sheet'!D413)</f>
        <v/>
      </c>
      <c r="E413" s="29" t="str">
        <f t="shared" si="78"/>
        <v/>
      </c>
      <c r="F413" s="51">
        <v>0</v>
      </c>
      <c r="G413" s="49">
        <f t="shared" si="82"/>
        <v>0</v>
      </c>
      <c r="H413" s="49">
        <f t="shared" si="83"/>
        <v>0</v>
      </c>
      <c r="I413" s="49">
        <f t="shared" si="84"/>
        <v>0</v>
      </c>
      <c r="J413" s="49">
        <f t="shared" si="85"/>
        <v>0</v>
      </c>
      <c r="K413" s="49">
        <f t="shared" si="86"/>
        <v>0</v>
      </c>
      <c r="L413" s="49">
        <f t="shared" si="87"/>
        <v>0</v>
      </c>
      <c r="M413" s="49">
        <f t="shared" si="88"/>
        <v>0</v>
      </c>
      <c r="N413" s="29" t="str">
        <f t="shared" si="79"/>
        <v/>
      </c>
      <c r="O413" s="29">
        <f t="shared" si="80"/>
        <v>0</v>
      </c>
      <c r="P413" s="29">
        <f t="shared" si="81"/>
        <v>0</v>
      </c>
      <c r="Q413" s="29">
        <f>IF(A413&lt;&gt;"",SUM(F$2:F413),Q412)</f>
        <v>8</v>
      </c>
      <c r="R413" s="30">
        <f t="shared" si="89"/>
        <v>0</v>
      </c>
    </row>
    <row r="414" spans="1:18" x14ac:dyDescent="0.25">
      <c r="A414" s="27" t="str">
        <f>IF('Data Sheet'!A414="","",'Data Sheet'!A414)</f>
        <v/>
      </c>
      <c r="B414" s="28" t="str">
        <f>IF('Data Sheet'!B414="","",'Data Sheet'!B414)</f>
        <v/>
      </c>
      <c r="C414" s="28" t="str">
        <f>IF('Data Sheet'!C414="","",'Data Sheet'!C414)</f>
        <v/>
      </c>
      <c r="D414" s="28" t="str">
        <f>IF('Data Sheet'!D414="","",'Data Sheet'!D414)</f>
        <v/>
      </c>
      <c r="E414" s="29" t="str">
        <f t="shared" si="78"/>
        <v/>
      </c>
      <c r="F414" s="51">
        <v>0</v>
      </c>
      <c r="G414" s="49">
        <f t="shared" si="82"/>
        <v>0</v>
      </c>
      <c r="H414" s="49">
        <f t="shared" si="83"/>
        <v>0</v>
      </c>
      <c r="I414" s="49">
        <f t="shared" si="84"/>
        <v>0</v>
      </c>
      <c r="J414" s="49">
        <f t="shared" si="85"/>
        <v>0</v>
      </c>
      <c r="K414" s="49">
        <f t="shared" si="86"/>
        <v>0</v>
      </c>
      <c r="L414" s="49">
        <f t="shared" si="87"/>
        <v>0</v>
      </c>
      <c r="M414" s="49">
        <f t="shared" si="88"/>
        <v>0</v>
      </c>
      <c r="N414" s="29" t="str">
        <f t="shared" si="79"/>
        <v/>
      </c>
      <c r="O414" s="29">
        <f t="shared" si="80"/>
        <v>0</v>
      </c>
      <c r="P414" s="29">
        <f t="shared" si="81"/>
        <v>0</v>
      </c>
      <c r="Q414" s="29">
        <f>IF(A414&lt;&gt;"",SUM(F$2:F414),Q413)</f>
        <v>8</v>
      </c>
      <c r="R414" s="30">
        <f t="shared" si="89"/>
        <v>0</v>
      </c>
    </row>
    <row r="415" spans="1:18" x14ac:dyDescent="0.25">
      <c r="A415" s="27" t="str">
        <f>IF('Data Sheet'!A415="","",'Data Sheet'!A415)</f>
        <v/>
      </c>
      <c r="B415" s="28" t="str">
        <f>IF('Data Sheet'!B415="","",'Data Sheet'!B415)</f>
        <v/>
      </c>
      <c r="C415" s="28" t="str">
        <f>IF('Data Sheet'!C415="","",'Data Sheet'!C415)</f>
        <v/>
      </c>
      <c r="D415" s="28" t="str">
        <f>IF('Data Sheet'!D415="","",'Data Sheet'!D415)</f>
        <v/>
      </c>
      <c r="E415" s="29" t="str">
        <f t="shared" si="78"/>
        <v/>
      </c>
      <c r="F415" s="51">
        <v>0</v>
      </c>
      <c r="G415" s="49">
        <f t="shared" si="82"/>
        <v>0</v>
      </c>
      <c r="H415" s="49">
        <f t="shared" si="83"/>
        <v>0</v>
      </c>
      <c r="I415" s="49">
        <f t="shared" si="84"/>
        <v>0</v>
      </c>
      <c r="J415" s="49">
        <f t="shared" si="85"/>
        <v>0</v>
      </c>
      <c r="K415" s="49">
        <f t="shared" si="86"/>
        <v>0</v>
      </c>
      <c r="L415" s="49">
        <f t="shared" si="87"/>
        <v>0</v>
      </c>
      <c r="M415" s="49">
        <f t="shared" si="88"/>
        <v>0</v>
      </c>
      <c r="N415" s="29" t="str">
        <f t="shared" si="79"/>
        <v/>
      </c>
      <c r="O415" s="29">
        <f t="shared" si="80"/>
        <v>0</v>
      </c>
      <c r="P415" s="29">
        <f t="shared" si="81"/>
        <v>0</v>
      </c>
      <c r="Q415" s="29">
        <f>IF(A415&lt;&gt;"",SUM(F$2:F415),Q414)</f>
        <v>8</v>
      </c>
      <c r="R415" s="30">
        <f t="shared" si="89"/>
        <v>0</v>
      </c>
    </row>
    <row r="416" spans="1:18" x14ac:dyDescent="0.25">
      <c r="A416" s="27" t="str">
        <f>IF('Data Sheet'!A416="","",'Data Sheet'!A416)</f>
        <v/>
      </c>
      <c r="B416" s="28" t="str">
        <f>IF('Data Sheet'!B416="","",'Data Sheet'!B416)</f>
        <v/>
      </c>
      <c r="C416" s="28" t="str">
        <f>IF('Data Sheet'!C416="","",'Data Sheet'!C416)</f>
        <v/>
      </c>
      <c r="D416" s="28" t="str">
        <f>IF('Data Sheet'!D416="","",'Data Sheet'!D416)</f>
        <v/>
      </c>
      <c r="E416" s="29" t="str">
        <f t="shared" si="78"/>
        <v/>
      </c>
      <c r="F416" s="51">
        <v>0</v>
      </c>
      <c r="G416" s="49">
        <f t="shared" si="82"/>
        <v>0</v>
      </c>
      <c r="H416" s="49">
        <f t="shared" si="83"/>
        <v>0</v>
      </c>
      <c r="I416" s="49">
        <f t="shared" si="84"/>
        <v>0</v>
      </c>
      <c r="J416" s="49">
        <f t="shared" si="85"/>
        <v>0</v>
      </c>
      <c r="K416" s="49">
        <f t="shared" si="86"/>
        <v>0</v>
      </c>
      <c r="L416" s="49">
        <f t="shared" si="87"/>
        <v>0</v>
      </c>
      <c r="M416" s="49">
        <f t="shared" si="88"/>
        <v>0</v>
      </c>
      <c r="N416" s="29" t="str">
        <f t="shared" si="79"/>
        <v/>
      </c>
      <c r="O416" s="29">
        <f t="shared" si="80"/>
        <v>0</v>
      </c>
      <c r="P416" s="29">
        <f t="shared" si="81"/>
        <v>0</v>
      </c>
      <c r="Q416" s="29">
        <f>IF(A416&lt;&gt;"",SUM(F$2:F416),Q415)</f>
        <v>8</v>
      </c>
      <c r="R416" s="30">
        <f t="shared" si="89"/>
        <v>0</v>
      </c>
    </row>
    <row r="417" spans="1:18" x14ac:dyDescent="0.25">
      <c r="A417" s="27" t="str">
        <f>IF('Data Sheet'!A417="","",'Data Sheet'!A417)</f>
        <v/>
      </c>
      <c r="B417" s="28" t="str">
        <f>IF('Data Sheet'!B417="","",'Data Sheet'!B417)</f>
        <v/>
      </c>
      <c r="C417" s="28" t="str">
        <f>IF('Data Sheet'!C417="","",'Data Sheet'!C417)</f>
        <v/>
      </c>
      <c r="D417" s="28" t="str">
        <f>IF('Data Sheet'!D417="","",'Data Sheet'!D417)</f>
        <v/>
      </c>
      <c r="E417" s="29" t="str">
        <f t="shared" si="78"/>
        <v/>
      </c>
      <c r="F417" s="51">
        <v>0</v>
      </c>
      <c r="G417" s="49">
        <f t="shared" si="82"/>
        <v>0</v>
      </c>
      <c r="H417" s="49">
        <f t="shared" si="83"/>
        <v>0</v>
      </c>
      <c r="I417" s="49">
        <f t="shared" si="84"/>
        <v>0</v>
      </c>
      <c r="J417" s="49">
        <f t="shared" si="85"/>
        <v>0</v>
      </c>
      <c r="K417" s="49">
        <f t="shared" si="86"/>
        <v>0</v>
      </c>
      <c r="L417" s="49">
        <f t="shared" si="87"/>
        <v>0</v>
      </c>
      <c r="M417" s="49">
        <f t="shared" si="88"/>
        <v>0</v>
      </c>
      <c r="N417" s="29" t="str">
        <f t="shared" si="79"/>
        <v/>
      </c>
      <c r="O417" s="29">
        <f t="shared" si="80"/>
        <v>0</v>
      </c>
      <c r="P417" s="29">
        <f t="shared" si="81"/>
        <v>0</v>
      </c>
      <c r="Q417" s="29">
        <f>IF(A417&lt;&gt;"",SUM(F$2:F417),Q416)</f>
        <v>8</v>
      </c>
      <c r="R417" s="30">
        <f t="shared" si="89"/>
        <v>0</v>
      </c>
    </row>
    <row r="418" spans="1:18" x14ac:dyDescent="0.25">
      <c r="A418" s="27" t="str">
        <f>IF('Data Sheet'!A418="","",'Data Sheet'!A418)</f>
        <v/>
      </c>
      <c r="B418" s="28" t="str">
        <f>IF('Data Sheet'!B418="","",'Data Sheet'!B418)</f>
        <v/>
      </c>
      <c r="C418" s="28" t="str">
        <f>IF('Data Sheet'!C418="","",'Data Sheet'!C418)</f>
        <v/>
      </c>
      <c r="D418" s="28" t="str">
        <f>IF('Data Sheet'!D418="","",'Data Sheet'!D418)</f>
        <v/>
      </c>
      <c r="E418" s="29" t="str">
        <f t="shared" si="78"/>
        <v/>
      </c>
      <c r="F418" s="51">
        <v>0</v>
      </c>
      <c r="G418" s="49">
        <f t="shared" si="82"/>
        <v>0</v>
      </c>
      <c r="H418" s="49">
        <f t="shared" si="83"/>
        <v>0</v>
      </c>
      <c r="I418" s="49">
        <f t="shared" si="84"/>
        <v>0</v>
      </c>
      <c r="J418" s="49">
        <f t="shared" si="85"/>
        <v>0</v>
      </c>
      <c r="K418" s="49">
        <f t="shared" si="86"/>
        <v>0</v>
      </c>
      <c r="L418" s="49">
        <f t="shared" si="87"/>
        <v>0</v>
      </c>
      <c r="M418" s="49">
        <f t="shared" si="88"/>
        <v>0</v>
      </c>
      <c r="N418" s="29" t="str">
        <f t="shared" si="79"/>
        <v/>
      </c>
      <c r="O418" s="29">
        <f t="shared" si="80"/>
        <v>0</v>
      </c>
      <c r="P418" s="29">
        <f t="shared" si="81"/>
        <v>0</v>
      </c>
      <c r="Q418" s="29">
        <f>IF(A418&lt;&gt;"",SUM(F$2:F418),Q417)</f>
        <v>8</v>
      </c>
      <c r="R418" s="30">
        <f t="shared" si="89"/>
        <v>0</v>
      </c>
    </row>
    <row r="419" spans="1:18" x14ac:dyDescent="0.25">
      <c r="A419" s="27" t="str">
        <f>IF('Data Sheet'!A419="","",'Data Sheet'!A419)</f>
        <v/>
      </c>
      <c r="B419" s="28" t="str">
        <f>IF('Data Sheet'!B419="","",'Data Sheet'!B419)</f>
        <v/>
      </c>
      <c r="C419" s="28" t="str">
        <f>IF('Data Sheet'!C419="","",'Data Sheet'!C419)</f>
        <v/>
      </c>
      <c r="D419" s="28" t="str">
        <f>IF('Data Sheet'!D419="","",'Data Sheet'!D419)</f>
        <v/>
      </c>
      <c r="E419" s="29" t="str">
        <f t="shared" si="78"/>
        <v/>
      </c>
      <c r="F419" s="51">
        <v>0</v>
      </c>
      <c r="G419" s="49">
        <f t="shared" si="82"/>
        <v>0</v>
      </c>
      <c r="H419" s="49">
        <f t="shared" si="83"/>
        <v>0</v>
      </c>
      <c r="I419" s="49">
        <f t="shared" si="84"/>
        <v>0</v>
      </c>
      <c r="J419" s="49">
        <f t="shared" si="85"/>
        <v>0</v>
      </c>
      <c r="K419" s="49">
        <f t="shared" si="86"/>
        <v>0</v>
      </c>
      <c r="L419" s="49">
        <f t="shared" si="87"/>
        <v>0</v>
      </c>
      <c r="M419" s="49">
        <f t="shared" si="88"/>
        <v>0</v>
      </c>
      <c r="N419" s="29" t="str">
        <f t="shared" si="79"/>
        <v/>
      </c>
      <c r="O419" s="29">
        <f t="shared" si="80"/>
        <v>0</v>
      </c>
      <c r="P419" s="29">
        <f t="shared" si="81"/>
        <v>0</v>
      </c>
      <c r="Q419" s="29">
        <f>IF(A419&lt;&gt;"",SUM(F$2:F419),Q418)</f>
        <v>8</v>
      </c>
      <c r="R419" s="30">
        <f t="shared" si="89"/>
        <v>0</v>
      </c>
    </row>
    <row r="420" spans="1:18" x14ac:dyDescent="0.25">
      <c r="A420" s="27" t="str">
        <f>IF('Data Sheet'!A420="","",'Data Sheet'!A420)</f>
        <v/>
      </c>
      <c r="B420" s="28" t="str">
        <f>IF('Data Sheet'!B420="","",'Data Sheet'!B420)</f>
        <v/>
      </c>
      <c r="C420" s="28" t="str">
        <f>IF('Data Sheet'!C420="","",'Data Sheet'!C420)</f>
        <v/>
      </c>
      <c r="D420" s="28" t="str">
        <f>IF('Data Sheet'!D420="","",'Data Sheet'!D420)</f>
        <v/>
      </c>
      <c r="E420" s="29" t="str">
        <f t="shared" si="78"/>
        <v/>
      </c>
      <c r="F420" s="51">
        <v>0</v>
      </c>
      <c r="G420" s="49">
        <f t="shared" si="82"/>
        <v>0</v>
      </c>
      <c r="H420" s="49">
        <f t="shared" si="83"/>
        <v>0</v>
      </c>
      <c r="I420" s="49">
        <f t="shared" si="84"/>
        <v>0</v>
      </c>
      <c r="J420" s="49">
        <f t="shared" si="85"/>
        <v>0</v>
      </c>
      <c r="K420" s="49">
        <f t="shared" si="86"/>
        <v>0</v>
      </c>
      <c r="L420" s="49">
        <f t="shared" si="87"/>
        <v>0</v>
      </c>
      <c r="M420" s="49">
        <f t="shared" si="88"/>
        <v>0</v>
      </c>
      <c r="N420" s="29" t="str">
        <f t="shared" si="79"/>
        <v/>
      </c>
      <c r="O420" s="29">
        <f t="shared" si="80"/>
        <v>0</v>
      </c>
      <c r="P420" s="29">
        <f t="shared" si="81"/>
        <v>0</v>
      </c>
      <c r="Q420" s="29">
        <f>IF(A420&lt;&gt;"",SUM(F$2:F420),Q419)</f>
        <v>8</v>
      </c>
      <c r="R420" s="30">
        <f t="shared" si="89"/>
        <v>0</v>
      </c>
    </row>
    <row r="421" spans="1:18" x14ac:dyDescent="0.25">
      <c r="A421" s="27" t="str">
        <f>IF('Data Sheet'!A421="","",'Data Sheet'!A421)</f>
        <v/>
      </c>
      <c r="B421" s="28" t="str">
        <f>IF('Data Sheet'!B421="","",'Data Sheet'!B421)</f>
        <v/>
      </c>
      <c r="C421" s="28" t="str">
        <f>IF('Data Sheet'!C421="","",'Data Sheet'!C421)</f>
        <v/>
      </c>
      <c r="D421" s="28" t="str">
        <f>IF('Data Sheet'!D421="","",'Data Sheet'!D421)</f>
        <v/>
      </c>
      <c r="E421" s="29" t="str">
        <f t="shared" si="78"/>
        <v/>
      </c>
      <c r="F421" s="51">
        <v>0</v>
      </c>
      <c r="G421" s="49">
        <f t="shared" si="82"/>
        <v>0</v>
      </c>
      <c r="H421" s="49">
        <f t="shared" si="83"/>
        <v>0</v>
      </c>
      <c r="I421" s="49">
        <f t="shared" si="84"/>
        <v>0</v>
      </c>
      <c r="J421" s="49">
        <f t="shared" si="85"/>
        <v>0</v>
      </c>
      <c r="K421" s="49">
        <f t="shared" si="86"/>
        <v>0</v>
      </c>
      <c r="L421" s="49">
        <f t="shared" si="87"/>
        <v>0</v>
      </c>
      <c r="M421" s="49">
        <f t="shared" si="88"/>
        <v>0</v>
      </c>
      <c r="N421" s="29" t="str">
        <f t="shared" si="79"/>
        <v/>
      </c>
      <c r="O421" s="29">
        <f t="shared" si="80"/>
        <v>0</v>
      </c>
      <c r="P421" s="29">
        <f t="shared" si="81"/>
        <v>0</v>
      </c>
      <c r="Q421" s="29">
        <f>IF(A421&lt;&gt;"",SUM(F$2:F421),Q420)</f>
        <v>8</v>
      </c>
      <c r="R421" s="30">
        <f t="shared" si="89"/>
        <v>0</v>
      </c>
    </row>
    <row r="422" spans="1:18" x14ac:dyDescent="0.25">
      <c r="A422" s="27" t="str">
        <f>IF('Data Sheet'!A422="","",'Data Sheet'!A422)</f>
        <v/>
      </c>
      <c r="B422" s="28" t="str">
        <f>IF('Data Sheet'!B422="","",'Data Sheet'!B422)</f>
        <v/>
      </c>
      <c r="C422" s="28" t="str">
        <f>IF('Data Sheet'!C422="","",'Data Sheet'!C422)</f>
        <v/>
      </c>
      <c r="D422" s="28" t="str">
        <f>IF('Data Sheet'!D422="","",'Data Sheet'!D422)</f>
        <v/>
      </c>
      <c r="E422" s="29" t="str">
        <f t="shared" si="78"/>
        <v/>
      </c>
      <c r="F422" s="51">
        <v>0</v>
      </c>
      <c r="G422" s="49">
        <f t="shared" si="82"/>
        <v>0</v>
      </c>
      <c r="H422" s="49">
        <f t="shared" si="83"/>
        <v>0</v>
      </c>
      <c r="I422" s="49">
        <f t="shared" si="84"/>
        <v>0</v>
      </c>
      <c r="J422" s="49">
        <f t="shared" si="85"/>
        <v>0</v>
      </c>
      <c r="K422" s="49">
        <f t="shared" si="86"/>
        <v>0</v>
      </c>
      <c r="L422" s="49">
        <f t="shared" si="87"/>
        <v>0</v>
      </c>
      <c r="M422" s="49">
        <f t="shared" si="88"/>
        <v>0</v>
      </c>
      <c r="N422" s="29" t="str">
        <f t="shared" si="79"/>
        <v/>
      </c>
      <c r="O422" s="29">
        <f t="shared" si="80"/>
        <v>0</v>
      </c>
      <c r="P422" s="29">
        <f t="shared" si="81"/>
        <v>0</v>
      </c>
      <c r="Q422" s="29">
        <f>IF(A422&lt;&gt;"",SUM(F$2:F422),Q421)</f>
        <v>8</v>
      </c>
      <c r="R422" s="30">
        <f t="shared" si="89"/>
        <v>0</v>
      </c>
    </row>
    <row r="423" spans="1:18" x14ac:dyDescent="0.25">
      <c r="A423" s="27" t="str">
        <f>IF('Data Sheet'!A423="","",'Data Sheet'!A423)</f>
        <v/>
      </c>
      <c r="B423" s="28" t="str">
        <f>IF('Data Sheet'!B423="","",'Data Sheet'!B423)</f>
        <v/>
      </c>
      <c r="C423" s="28" t="str">
        <f>IF('Data Sheet'!C423="","",'Data Sheet'!C423)</f>
        <v/>
      </c>
      <c r="D423" s="28" t="str">
        <f>IF('Data Sheet'!D423="","",'Data Sheet'!D423)</f>
        <v/>
      </c>
      <c r="E423" s="29" t="str">
        <f t="shared" si="78"/>
        <v/>
      </c>
      <c r="F423" s="51">
        <v>0</v>
      </c>
      <c r="G423" s="49">
        <f t="shared" si="82"/>
        <v>0</v>
      </c>
      <c r="H423" s="49">
        <f t="shared" si="83"/>
        <v>0</v>
      </c>
      <c r="I423" s="49">
        <f t="shared" si="84"/>
        <v>0</v>
      </c>
      <c r="J423" s="49">
        <f t="shared" si="85"/>
        <v>0</v>
      </c>
      <c r="K423" s="49">
        <f t="shared" si="86"/>
        <v>0</v>
      </c>
      <c r="L423" s="49">
        <f t="shared" si="87"/>
        <v>0</v>
      </c>
      <c r="M423" s="49">
        <f t="shared" si="88"/>
        <v>0</v>
      </c>
      <c r="N423" s="29" t="str">
        <f t="shared" si="79"/>
        <v/>
      </c>
      <c r="O423" s="29">
        <f t="shared" si="80"/>
        <v>0</v>
      </c>
      <c r="P423" s="29">
        <f t="shared" si="81"/>
        <v>0</v>
      </c>
      <c r="Q423" s="29">
        <f>IF(A423&lt;&gt;"",SUM(F$2:F423),Q422)</f>
        <v>8</v>
      </c>
      <c r="R423" s="30">
        <f t="shared" si="89"/>
        <v>0</v>
      </c>
    </row>
    <row r="424" spans="1:18" x14ac:dyDescent="0.25">
      <c r="A424" s="27" t="str">
        <f>IF('Data Sheet'!A424="","",'Data Sheet'!A424)</f>
        <v/>
      </c>
      <c r="B424" s="28" t="str">
        <f>IF('Data Sheet'!B424="","",'Data Sheet'!B424)</f>
        <v/>
      </c>
      <c r="C424" s="28" t="str">
        <f>IF('Data Sheet'!C424="","",'Data Sheet'!C424)</f>
        <v/>
      </c>
      <c r="D424" s="28" t="str">
        <f>IF('Data Sheet'!D424="","",'Data Sheet'!D424)</f>
        <v/>
      </c>
      <c r="E424" s="29" t="str">
        <f t="shared" si="78"/>
        <v/>
      </c>
      <c r="F424" s="51">
        <v>0</v>
      </c>
      <c r="G424" s="49">
        <f t="shared" si="82"/>
        <v>0</v>
      </c>
      <c r="H424" s="49">
        <f t="shared" si="83"/>
        <v>0</v>
      </c>
      <c r="I424" s="49">
        <f t="shared" si="84"/>
        <v>0</v>
      </c>
      <c r="J424" s="49">
        <f t="shared" si="85"/>
        <v>0</v>
      </c>
      <c r="K424" s="49">
        <f t="shared" si="86"/>
        <v>0</v>
      </c>
      <c r="L424" s="49">
        <f t="shared" si="87"/>
        <v>0</v>
      </c>
      <c r="M424" s="49">
        <f t="shared" si="88"/>
        <v>0</v>
      </c>
      <c r="N424" s="29" t="str">
        <f t="shared" si="79"/>
        <v/>
      </c>
      <c r="O424" s="29">
        <f t="shared" si="80"/>
        <v>0</v>
      </c>
      <c r="P424" s="29">
        <f t="shared" si="81"/>
        <v>0</v>
      </c>
      <c r="Q424" s="29">
        <f>IF(A424&lt;&gt;"",SUM(F$2:F424),Q423)</f>
        <v>8</v>
      </c>
      <c r="R424" s="30">
        <f t="shared" si="89"/>
        <v>0</v>
      </c>
    </row>
    <row r="425" spans="1:18" x14ac:dyDescent="0.25">
      <c r="A425" s="27" t="str">
        <f>IF('Data Sheet'!A425="","",'Data Sheet'!A425)</f>
        <v/>
      </c>
      <c r="B425" s="28" t="str">
        <f>IF('Data Sheet'!B425="","",'Data Sheet'!B425)</f>
        <v/>
      </c>
      <c r="C425" s="28" t="str">
        <f>IF('Data Sheet'!C425="","",'Data Sheet'!C425)</f>
        <v/>
      </c>
      <c r="D425" s="28" t="str">
        <f>IF('Data Sheet'!D425="","",'Data Sheet'!D425)</f>
        <v/>
      </c>
      <c r="E425" s="29" t="str">
        <f t="shared" si="78"/>
        <v/>
      </c>
      <c r="F425" s="51">
        <v>0</v>
      </c>
      <c r="G425" s="49">
        <f t="shared" si="82"/>
        <v>0</v>
      </c>
      <c r="H425" s="49">
        <f t="shared" si="83"/>
        <v>0</v>
      </c>
      <c r="I425" s="49">
        <f t="shared" si="84"/>
        <v>0</v>
      </c>
      <c r="J425" s="49">
        <f t="shared" si="85"/>
        <v>0</v>
      </c>
      <c r="K425" s="49">
        <f t="shared" si="86"/>
        <v>0</v>
      </c>
      <c r="L425" s="49">
        <f t="shared" si="87"/>
        <v>0</v>
      </c>
      <c r="M425" s="49">
        <f t="shared" si="88"/>
        <v>0</v>
      </c>
      <c r="N425" s="29" t="str">
        <f t="shared" si="79"/>
        <v/>
      </c>
      <c r="O425" s="29">
        <f t="shared" si="80"/>
        <v>0</v>
      </c>
      <c r="P425" s="29">
        <f t="shared" si="81"/>
        <v>0</v>
      </c>
      <c r="Q425" s="29">
        <f>IF(A425&lt;&gt;"",SUM(F$2:F425),Q424)</f>
        <v>8</v>
      </c>
      <c r="R425" s="30">
        <f t="shared" si="89"/>
        <v>0</v>
      </c>
    </row>
    <row r="426" spans="1:18" x14ac:dyDescent="0.25">
      <c r="A426" s="27" t="str">
        <f>IF('Data Sheet'!A426="","",'Data Sheet'!A426)</f>
        <v/>
      </c>
      <c r="B426" s="28" t="str">
        <f>IF('Data Sheet'!B426="","",'Data Sheet'!B426)</f>
        <v/>
      </c>
      <c r="C426" s="28" t="str">
        <f>IF('Data Sheet'!C426="","",'Data Sheet'!C426)</f>
        <v/>
      </c>
      <c r="D426" s="28" t="str">
        <f>IF('Data Sheet'!D426="","",'Data Sheet'!D426)</f>
        <v/>
      </c>
      <c r="E426" s="29" t="str">
        <f t="shared" si="78"/>
        <v/>
      </c>
      <c r="F426" s="51">
        <v>0</v>
      </c>
      <c r="G426" s="49">
        <f t="shared" si="82"/>
        <v>0</v>
      </c>
      <c r="H426" s="49">
        <f t="shared" si="83"/>
        <v>0</v>
      </c>
      <c r="I426" s="49">
        <f t="shared" si="84"/>
        <v>0</v>
      </c>
      <c r="J426" s="49">
        <f t="shared" si="85"/>
        <v>0</v>
      </c>
      <c r="K426" s="49">
        <f t="shared" si="86"/>
        <v>0</v>
      </c>
      <c r="L426" s="49">
        <f t="shared" si="87"/>
        <v>0</v>
      </c>
      <c r="M426" s="49">
        <f t="shared" si="88"/>
        <v>0</v>
      </c>
      <c r="N426" s="29" t="str">
        <f t="shared" si="79"/>
        <v/>
      </c>
      <c r="O426" s="29">
        <f t="shared" si="80"/>
        <v>0</v>
      </c>
      <c r="P426" s="29">
        <f t="shared" si="81"/>
        <v>0</v>
      </c>
      <c r="Q426" s="29">
        <f>IF(A426&lt;&gt;"",SUM(F$2:F426),Q425)</f>
        <v>8</v>
      </c>
      <c r="R426" s="30">
        <f t="shared" si="89"/>
        <v>0</v>
      </c>
    </row>
    <row r="427" spans="1:18" x14ac:dyDescent="0.25">
      <c r="A427" s="27" t="str">
        <f>IF('Data Sheet'!A427="","",'Data Sheet'!A427)</f>
        <v/>
      </c>
      <c r="B427" s="28" t="str">
        <f>IF('Data Sheet'!B427="","",'Data Sheet'!B427)</f>
        <v/>
      </c>
      <c r="C427" s="28" t="str">
        <f>IF('Data Sheet'!C427="","",'Data Sheet'!C427)</f>
        <v/>
      </c>
      <c r="D427" s="28" t="str">
        <f>IF('Data Sheet'!D427="","",'Data Sheet'!D427)</f>
        <v/>
      </c>
      <c r="E427" s="29" t="str">
        <f t="shared" si="78"/>
        <v/>
      </c>
      <c r="F427" s="51">
        <v>0</v>
      </c>
      <c r="G427" s="49">
        <f t="shared" si="82"/>
        <v>0</v>
      </c>
      <c r="H427" s="49">
        <f t="shared" si="83"/>
        <v>0</v>
      </c>
      <c r="I427" s="49">
        <f t="shared" si="84"/>
        <v>0</v>
      </c>
      <c r="J427" s="49">
        <f t="shared" si="85"/>
        <v>0</v>
      </c>
      <c r="K427" s="49">
        <f t="shared" si="86"/>
        <v>0</v>
      </c>
      <c r="L427" s="49">
        <f t="shared" si="87"/>
        <v>0</v>
      </c>
      <c r="M427" s="49">
        <f t="shared" si="88"/>
        <v>0</v>
      </c>
      <c r="N427" s="29" t="str">
        <f t="shared" si="79"/>
        <v/>
      </c>
      <c r="O427" s="29">
        <f t="shared" si="80"/>
        <v>0</v>
      </c>
      <c r="P427" s="29">
        <f t="shared" si="81"/>
        <v>0</v>
      </c>
      <c r="Q427" s="29">
        <f>IF(A427&lt;&gt;"",SUM(F$2:F427),Q426)</f>
        <v>8</v>
      </c>
      <c r="R427" s="30">
        <f t="shared" si="89"/>
        <v>0</v>
      </c>
    </row>
    <row r="428" spans="1:18" x14ac:dyDescent="0.25">
      <c r="A428" s="27" t="str">
        <f>IF('Data Sheet'!A428="","",'Data Sheet'!A428)</f>
        <v/>
      </c>
      <c r="B428" s="28" t="str">
        <f>IF('Data Sheet'!B428="","",'Data Sheet'!B428)</f>
        <v/>
      </c>
      <c r="C428" s="28" t="str">
        <f>IF('Data Sheet'!C428="","",'Data Sheet'!C428)</f>
        <v/>
      </c>
      <c r="D428" s="28" t="str">
        <f>IF('Data Sheet'!D428="","",'Data Sheet'!D428)</f>
        <v/>
      </c>
      <c r="E428" s="29" t="str">
        <f t="shared" si="78"/>
        <v/>
      </c>
      <c r="F428" s="51">
        <v>0</v>
      </c>
      <c r="G428" s="49">
        <f t="shared" si="82"/>
        <v>0</v>
      </c>
      <c r="H428" s="49">
        <f t="shared" si="83"/>
        <v>0</v>
      </c>
      <c r="I428" s="49">
        <f t="shared" si="84"/>
        <v>0</v>
      </c>
      <c r="J428" s="49">
        <f t="shared" si="85"/>
        <v>0</v>
      </c>
      <c r="K428" s="49">
        <f t="shared" si="86"/>
        <v>0</v>
      </c>
      <c r="L428" s="49">
        <f t="shared" si="87"/>
        <v>0</v>
      </c>
      <c r="M428" s="49">
        <f t="shared" si="88"/>
        <v>0</v>
      </c>
      <c r="N428" s="29" t="str">
        <f t="shared" si="79"/>
        <v/>
      </c>
      <c r="O428" s="29">
        <f t="shared" si="80"/>
        <v>0</v>
      </c>
      <c r="P428" s="29">
        <f t="shared" si="81"/>
        <v>0</v>
      </c>
      <c r="Q428" s="29">
        <f>IF(A428&lt;&gt;"",SUM(F$2:F428),Q427)</f>
        <v>8</v>
      </c>
      <c r="R428" s="30">
        <f t="shared" si="89"/>
        <v>0</v>
      </c>
    </row>
    <row r="429" spans="1:18" x14ac:dyDescent="0.25">
      <c r="A429" s="27" t="str">
        <f>IF('Data Sheet'!A429="","",'Data Sheet'!A429)</f>
        <v/>
      </c>
      <c r="B429" s="28" t="str">
        <f>IF('Data Sheet'!B429="","",'Data Sheet'!B429)</f>
        <v/>
      </c>
      <c r="C429" s="28" t="str">
        <f>IF('Data Sheet'!C429="","",'Data Sheet'!C429)</f>
        <v/>
      </c>
      <c r="D429" s="28" t="str">
        <f>IF('Data Sheet'!D429="","",'Data Sheet'!D429)</f>
        <v/>
      </c>
      <c r="E429" s="29" t="str">
        <f t="shared" si="78"/>
        <v/>
      </c>
      <c r="F429" s="51">
        <v>0</v>
      </c>
      <c r="G429" s="49">
        <f t="shared" si="82"/>
        <v>0</v>
      </c>
      <c r="H429" s="49">
        <f t="shared" si="83"/>
        <v>0</v>
      </c>
      <c r="I429" s="49">
        <f t="shared" si="84"/>
        <v>0</v>
      </c>
      <c r="J429" s="49">
        <f t="shared" si="85"/>
        <v>0</v>
      </c>
      <c r="K429" s="49">
        <f t="shared" si="86"/>
        <v>0</v>
      </c>
      <c r="L429" s="49">
        <f t="shared" si="87"/>
        <v>0</v>
      </c>
      <c r="M429" s="49">
        <f t="shared" si="88"/>
        <v>0</v>
      </c>
      <c r="N429" s="29" t="str">
        <f t="shared" si="79"/>
        <v/>
      </c>
      <c r="O429" s="29">
        <f t="shared" si="80"/>
        <v>0</v>
      </c>
      <c r="P429" s="29">
        <f t="shared" si="81"/>
        <v>0</v>
      </c>
      <c r="Q429" s="29">
        <f>IF(A429&lt;&gt;"",SUM(F$2:F429),Q428)</f>
        <v>8</v>
      </c>
      <c r="R429" s="30">
        <f t="shared" si="89"/>
        <v>0</v>
      </c>
    </row>
    <row r="430" spans="1:18" x14ac:dyDescent="0.25">
      <c r="A430" s="27" t="str">
        <f>IF('Data Sheet'!A430="","",'Data Sheet'!A430)</f>
        <v/>
      </c>
      <c r="B430" s="28" t="str">
        <f>IF('Data Sheet'!B430="","",'Data Sheet'!B430)</f>
        <v/>
      </c>
      <c r="C430" s="28" t="str">
        <f>IF('Data Sheet'!C430="","",'Data Sheet'!C430)</f>
        <v/>
      </c>
      <c r="D430" s="28" t="str">
        <f>IF('Data Sheet'!D430="","",'Data Sheet'!D430)</f>
        <v/>
      </c>
      <c r="E430" s="29" t="str">
        <f t="shared" si="78"/>
        <v/>
      </c>
      <c r="F430" s="51">
        <v>0</v>
      </c>
      <c r="G430" s="49">
        <f t="shared" si="82"/>
        <v>0</v>
      </c>
      <c r="H430" s="49">
        <f t="shared" si="83"/>
        <v>0</v>
      </c>
      <c r="I430" s="49">
        <f t="shared" si="84"/>
        <v>0</v>
      </c>
      <c r="J430" s="49">
        <f t="shared" si="85"/>
        <v>0</v>
      </c>
      <c r="K430" s="49">
        <f t="shared" si="86"/>
        <v>0</v>
      </c>
      <c r="L430" s="49">
        <f t="shared" si="87"/>
        <v>0</v>
      </c>
      <c r="M430" s="49">
        <f t="shared" si="88"/>
        <v>0</v>
      </c>
      <c r="N430" s="29" t="str">
        <f t="shared" si="79"/>
        <v/>
      </c>
      <c r="O430" s="29">
        <f t="shared" si="80"/>
        <v>0</v>
      </c>
      <c r="P430" s="29">
        <f t="shared" si="81"/>
        <v>0</v>
      </c>
      <c r="Q430" s="29">
        <f>IF(A430&lt;&gt;"",SUM(F$2:F430),Q429)</f>
        <v>8</v>
      </c>
      <c r="R430" s="30">
        <f t="shared" si="89"/>
        <v>0</v>
      </c>
    </row>
    <row r="431" spans="1:18" x14ac:dyDescent="0.25">
      <c r="A431" s="27" t="str">
        <f>IF('Data Sheet'!A431="","",'Data Sheet'!A431)</f>
        <v/>
      </c>
      <c r="B431" s="28" t="str">
        <f>IF('Data Sheet'!B431="","",'Data Sheet'!B431)</f>
        <v/>
      </c>
      <c r="C431" s="28" t="str">
        <f>IF('Data Sheet'!C431="","",'Data Sheet'!C431)</f>
        <v/>
      </c>
      <c r="D431" s="28" t="str">
        <f>IF('Data Sheet'!D431="","",'Data Sheet'!D431)</f>
        <v/>
      </c>
      <c r="E431" s="29" t="str">
        <f t="shared" si="78"/>
        <v/>
      </c>
      <c r="F431" s="51">
        <v>0</v>
      </c>
      <c r="G431" s="49">
        <f t="shared" si="82"/>
        <v>0</v>
      </c>
      <c r="H431" s="49">
        <f t="shared" si="83"/>
        <v>0</v>
      </c>
      <c r="I431" s="49">
        <f t="shared" si="84"/>
        <v>0</v>
      </c>
      <c r="J431" s="49">
        <f t="shared" si="85"/>
        <v>0</v>
      </c>
      <c r="K431" s="49">
        <f t="shared" si="86"/>
        <v>0</v>
      </c>
      <c r="L431" s="49">
        <f t="shared" si="87"/>
        <v>0</v>
      </c>
      <c r="M431" s="49">
        <f t="shared" si="88"/>
        <v>0</v>
      </c>
      <c r="N431" s="29" t="str">
        <f t="shared" si="79"/>
        <v/>
      </c>
      <c r="O431" s="29">
        <f t="shared" si="80"/>
        <v>0</v>
      </c>
      <c r="P431" s="29">
        <f t="shared" si="81"/>
        <v>0</v>
      </c>
      <c r="Q431" s="29">
        <f>IF(A431&lt;&gt;"",SUM(F$2:F431),Q430)</f>
        <v>8</v>
      </c>
      <c r="R431" s="30">
        <f t="shared" si="89"/>
        <v>0</v>
      </c>
    </row>
    <row r="432" spans="1:18" x14ac:dyDescent="0.25">
      <c r="A432" s="27" t="str">
        <f>IF('Data Sheet'!A432="","",'Data Sheet'!A432)</f>
        <v/>
      </c>
      <c r="B432" s="28" t="str">
        <f>IF('Data Sheet'!B432="","",'Data Sheet'!B432)</f>
        <v/>
      </c>
      <c r="C432" s="28" t="str">
        <f>IF('Data Sheet'!C432="","",'Data Sheet'!C432)</f>
        <v/>
      </c>
      <c r="D432" s="28" t="str">
        <f>IF('Data Sheet'!D432="","",'Data Sheet'!D432)</f>
        <v/>
      </c>
      <c r="E432" s="29" t="str">
        <f t="shared" si="78"/>
        <v/>
      </c>
      <c r="F432" s="51">
        <v>0</v>
      </c>
      <c r="G432" s="49">
        <f t="shared" si="82"/>
        <v>0</v>
      </c>
      <c r="H432" s="49">
        <f t="shared" si="83"/>
        <v>0</v>
      </c>
      <c r="I432" s="49">
        <f t="shared" si="84"/>
        <v>0</v>
      </c>
      <c r="J432" s="49">
        <f t="shared" si="85"/>
        <v>0</v>
      </c>
      <c r="K432" s="49">
        <f t="shared" si="86"/>
        <v>0</v>
      </c>
      <c r="L432" s="49">
        <f t="shared" si="87"/>
        <v>0</v>
      </c>
      <c r="M432" s="49">
        <f t="shared" si="88"/>
        <v>0</v>
      </c>
      <c r="N432" s="29" t="str">
        <f t="shared" si="79"/>
        <v/>
      </c>
      <c r="O432" s="29">
        <f t="shared" si="80"/>
        <v>0</v>
      </c>
      <c r="P432" s="29">
        <f t="shared" si="81"/>
        <v>0</v>
      </c>
      <c r="Q432" s="29">
        <f>IF(A432&lt;&gt;"",SUM(F$2:F432),Q431)</f>
        <v>8</v>
      </c>
      <c r="R432" s="30">
        <f t="shared" si="89"/>
        <v>0</v>
      </c>
    </row>
    <row r="433" spans="1:18" x14ac:dyDescent="0.25">
      <c r="A433" s="27" t="str">
        <f>IF('Data Sheet'!A433="","",'Data Sheet'!A433)</f>
        <v/>
      </c>
      <c r="B433" s="28" t="str">
        <f>IF('Data Sheet'!B433="","",'Data Sheet'!B433)</f>
        <v/>
      </c>
      <c r="C433" s="28" t="str">
        <f>IF('Data Sheet'!C433="","",'Data Sheet'!C433)</f>
        <v/>
      </c>
      <c r="D433" s="28" t="str">
        <f>IF('Data Sheet'!D433="","",'Data Sheet'!D433)</f>
        <v/>
      </c>
      <c r="E433" s="29" t="str">
        <f t="shared" si="78"/>
        <v/>
      </c>
      <c r="F433" s="51">
        <v>0</v>
      </c>
      <c r="G433" s="49">
        <f t="shared" si="82"/>
        <v>0</v>
      </c>
      <c r="H433" s="49">
        <f t="shared" si="83"/>
        <v>0</v>
      </c>
      <c r="I433" s="49">
        <f t="shared" si="84"/>
        <v>0</v>
      </c>
      <c r="J433" s="49">
        <f t="shared" si="85"/>
        <v>0</v>
      </c>
      <c r="K433" s="49">
        <f t="shared" si="86"/>
        <v>0</v>
      </c>
      <c r="L433" s="49">
        <f t="shared" si="87"/>
        <v>0</v>
      </c>
      <c r="M433" s="49">
        <f t="shared" si="88"/>
        <v>0</v>
      </c>
      <c r="N433" s="29" t="str">
        <f t="shared" si="79"/>
        <v/>
      </c>
      <c r="O433" s="29">
        <f t="shared" si="80"/>
        <v>0</v>
      </c>
      <c r="P433" s="29">
        <f t="shared" si="81"/>
        <v>0</v>
      </c>
      <c r="Q433" s="29">
        <f>IF(A433&lt;&gt;"",SUM(F$2:F433),Q432)</f>
        <v>8</v>
      </c>
      <c r="R433" s="30">
        <f t="shared" si="89"/>
        <v>0</v>
      </c>
    </row>
    <row r="434" spans="1:18" x14ac:dyDescent="0.25">
      <c r="A434" s="27" t="str">
        <f>IF('Data Sheet'!A434="","",'Data Sheet'!A434)</f>
        <v/>
      </c>
      <c r="B434" s="28" t="str">
        <f>IF('Data Sheet'!B434="","",'Data Sheet'!B434)</f>
        <v/>
      </c>
      <c r="C434" s="28" t="str">
        <f>IF('Data Sheet'!C434="","",'Data Sheet'!C434)</f>
        <v/>
      </c>
      <c r="D434" s="28" t="str">
        <f>IF('Data Sheet'!D434="","",'Data Sheet'!D434)</f>
        <v/>
      </c>
      <c r="E434" s="29" t="str">
        <f t="shared" si="78"/>
        <v/>
      </c>
      <c r="F434" s="51">
        <v>0</v>
      </c>
      <c r="G434" s="49">
        <f t="shared" si="82"/>
        <v>0</v>
      </c>
      <c r="H434" s="49">
        <f t="shared" si="83"/>
        <v>0</v>
      </c>
      <c r="I434" s="49">
        <f t="shared" si="84"/>
        <v>0</v>
      </c>
      <c r="J434" s="49">
        <f t="shared" si="85"/>
        <v>0</v>
      </c>
      <c r="K434" s="49">
        <f t="shared" si="86"/>
        <v>0</v>
      </c>
      <c r="L434" s="49">
        <f t="shared" si="87"/>
        <v>0</v>
      </c>
      <c r="M434" s="49">
        <f t="shared" si="88"/>
        <v>0</v>
      </c>
      <c r="N434" s="29" t="str">
        <f t="shared" si="79"/>
        <v/>
      </c>
      <c r="O434" s="29">
        <f t="shared" si="80"/>
        <v>0</v>
      </c>
      <c r="P434" s="29">
        <f t="shared" si="81"/>
        <v>0</v>
      </c>
      <c r="Q434" s="29">
        <f>IF(A434&lt;&gt;"",SUM(F$2:F434),Q433)</f>
        <v>8</v>
      </c>
      <c r="R434" s="30">
        <f t="shared" si="89"/>
        <v>0</v>
      </c>
    </row>
    <row r="435" spans="1:18" x14ac:dyDescent="0.25">
      <c r="A435" s="27" t="str">
        <f>IF('Data Sheet'!A435="","",'Data Sheet'!A435)</f>
        <v/>
      </c>
      <c r="B435" s="28" t="str">
        <f>IF('Data Sheet'!B435="","",'Data Sheet'!B435)</f>
        <v/>
      </c>
      <c r="C435" s="28" t="str">
        <f>IF('Data Sheet'!C435="","",'Data Sheet'!C435)</f>
        <v/>
      </c>
      <c r="D435" s="28" t="str">
        <f>IF('Data Sheet'!D435="","",'Data Sheet'!D435)</f>
        <v/>
      </c>
      <c r="E435" s="29" t="str">
        <f t="shared" si="78"/>
        <v/>
      </c>
      <c r="F435" s="51">
        <v>0</v>
      </c>
      <c r="G435" s="49">
        <f t="shared" si="82"/>
        <v>0</v>
      </c>
      <c r="H435" s="49">
        <f t="shared" si="83"/>
        <v>0</v>
      </c>
      <c r="I435" s="49">
        <f t="shared" si="84"/>
        <v>0</v>
      </c>
      <c r="J435" s="49">
        <f t="shared" si="85"/>
        <v>0</v>
      </c>
      <c r="K435" s="49">
        <f t="shared" si="86"/>
        <v>0</v>
      </c>
      <c r="L435" s="49">
        <f t="shared" si="87"/>
        <v>0</v>
      </c>
      <c r="M435" s="49">
        <f t="shared" si="88"/>
        <v>0</v>
      </c>
      <c r="N435" s="29" t="str">
        <f t="shared" si="79"/>
        <v/>
      </c>
      <c r="O435" s="29">
        <f t="shared" si="80"/>
        <v>0</v>
      </c>
      <c r="P435" s="29">
        <f t="shared" si="81"/>
        <v>0</v>
      </c>
      <c r="Q435" s="29">
        <f>IF(A435&lt;&gt;"",SUM(F$2:F435),Q434)</f>
        <v>8</v>
      </c>
      <c r="R435" s="30">
        <f t="shared" si="89"/>
        <v>0</v>
      </c>
    </row>
    <row r="436" spans="1:18" x14ac:dyDescent="0.25">
      <c r="A436" s="27" t="str">
        <f>IF('Data Sheet'!A436="","",'Data Sheet'!A436)</f>
        <v/>
      </c>
      <c r="B436" s="28" t="str">
        <f>IF('Data Sheet'!B436="","",'Data Sheet'!B436)</f>
        <v/>
      </c>
      <c r="C436" s="28" t="str">
        <f>IF('Data Sheet'!C436="","",'Data Sheet'!C436)</f>
        <v/>
      </c>
      <c r="D436" s="28" t="str">
        <f>IF('Data Sheet'!D436="","",'Data Sheet'!D436)</f>
        <v/>
      </c>
      <c r="E436" s="29" t="str">
        <f t="shared" si="78"/>
        <v/>
      </c>
      <c r="F436" s="51">
        <v>0</v>
      </c>
      <c r="G436" s="49">
        <f t="shared" si="82"/>
        <v>0</v>
      </c>
      <c r="H436" s="49">
        <f t="shared" si="83"/>
        <v>0</v>
      </c>
      <c r="I436" s="49">
        <f t="shared" si="84"/>
        <v>0</v>
      </c>
      <c r="J436" s="49">
        <f t="shared" si="85"/>
        <v>0</v>
      </c>
      <c r="K436" s="49">
        <f t="shared" si="86"/>
        <v>0</v>
      </c>
      <c r="L436" s="49">
        <f t="shared" si="87"/>
        <v>0</v>
      </c>
      <c r="M436" s="49">
        <f t="shared" si="88"/>
        <v>0</v>
      </c>
      <c r="N436" s="29" t="str">
        <f t="shared" si="79"/>
        <v/>
      </c>
      <c r="O436" s="29">
        <f t="shared" si="80"/>
        <v>0</v>
      </c>
      <c r="P436" s="29">
        <f t="shared" si="81"/>
        <v>0</v>
      </c>
      <c r="Q436" s="29">
        <f>IF(A436&lt;&gt;"",SUM(F$2:F436),Q435)</f>
        <v>8</v>
      </c>
      <c r="R436" s="30">
        <f t="shared" si="89"/>
        <v>0</v>
      </c>
    </row>
    <row r="437" spans="1:18" x14ac:dyDescent="0.25">
      <c r="A437" s="27" t="str">
        <f>IF('Data Sheet'!A437="","",'Data Sheet'!A437)</f>
        <v/>
      </c>
      <c r="B437" s="28" t="str">
        <f>IF('Data Sheet'!B437="","",'Data Sheet'!B437)</f>
        <v/>
      </c>
      <c r="C437" s="28" t="str">
        <f>IF('Data Sheet'!C437="","",'Data Sheet'!C437)</f>
        <v/>
      </c>
      <c r="D437" s="28" t="str">
        <f>IF('Data Sheet'!D437="","",'Data Sheet'!D437)</f>
        <v/>
      </c>
      <c r="E437" s="29" t="str">
        <f t="shared" si="78"/>
        <v/>
      </c>
      <c r="F437" s="51">
        <v>0</v>
      </c>
      <c r="G437" s="49">
        <f t="shared" si="82"/>
        <v>0</v>
      </c>
      <c r="H437" s="49">
        <f t="shared" si="83"/>
        <v>0</v>
      </c>
      <c r="I437" s="49">
        <f t="shared" si="84"/>
        <v>0</v>
      </c>
      <c r="J437" s="49">
        <f t="shared" si="85"/>
        <v>0</v>
      </c>
      <c r="K437" s="49">
        <f t="shared" si="86"/>
        <v>0</v>
      </c>
      <c r="L437" s="49">
        <f t="shared" si="87"/>
        <v>0</v>
      </c>
      <c r="M437" s="49">
        <f t="shared" si="88"/>
        <v>0</v>
      </c>
      <c r="N437" s="29" t="str">
        <f t="shared" si="79"/>
        <v/>
      </c>
      <c r="O437" s="29">
        <f t="shared" si="80"/>
        <v>0</v>
      </c>
      <c r="P437" s="29">
        <f t="shared" si="81"/>
        <v>0</v>
      </c>
      <c r="Q437" s="29">
        <f>IF(A437&lt;&gt;"",SUM(F$2:F437),Q436)</f>
        <v>8</v>
      </c>
      <c r="R437" s="30">
        <f t="shared" si="89"/>
        <v>0</v>
      </c>
    </row>
    <row r="438" spans="1:18" x14ac:dyDescent="0.25">
      <c r="A438" s="27" t="str">
        <f>IF('Data Sheet'!A438="","",'Data Sheet'!A438)</f>
        <v/>
      </c>
      <c r="B438" s="28" t="str">
        <f>IF('Data Sheet'!B438="","",'Data Sheet'!B438)</f>
        <v/>
      </c>
      <c r="C438" s="28" t="str">
        <f>IF('Data Sheet'!C438="","",'Data Sheet'!C438)</f>
        <v/>
      </c>
      <c r="D438" s="28" t="str">
        <f>IF('Data Sheet'!D438="","",'Data Sheet'!D438)</f>
        <v/>
      </c>
      <c r="E438" s="29" t="str">
        <f t="shared" si="78"/>
        <v/>
      </c>
      <c r="F438" s="51">
        <v>0</v>
      </c>
      <c r="G438" s="49">
        <f t="shared" si="82"/>
        <v>0</v>
      </c>
      <c r="H438" s="49">
        <f t="shared" si="83"/>
        <v>0</v>
      </c>
      <c r="I438" s="49">
        <f t="shared" si="84"/>
        <v>0</v>
      </c>
      <c r="J438" s="49">
        <f t="shared" si="85"/>
        <v>0</v>
      </c>
      <c r="K438" s="49">
        <f t="shared" si="86"/>
        <v>0</v>
      </c>
      <c r="L438" s="49">
        <f t="shared" si="87"/>
        <v>0</v>
      </c>
      <c r="M438" s="49">
        <f t="shared" si="88"/>
        <v>0</v>
      </c>
      <c r="N438" s="29" t="str">
        <f t="shared" si="79"/>
        <v/>
      </c>
      <c r="O438" s="29">
        <f t="shared" si="80"/>
        <v>0</v>
      </c>
      <c r="P438" s="29">
        <f t="shared" si="81"/>
        <v>0</v>
      </c>
      <c r="Q438" s="29">
        <f>IF(A438&lt;&gt;"",SUM(F$2:F438),Q437)</f>
        <v>8</v>
      </c>
      <c r="R438" s="30">
        <f t="shared" si="89"/>
        <v>0</v>
      </c>
    </row>
    <row r="439" spans="1:18" x14ac:dyDescent="0.25">
      <c r="A439" s="27" t="str">
        <f>IF('Data Sheet'!A439="","",'Data Sheet'!A439)</f>
        <v/>
      </c>
      <c r="B439" s="28" t="str">
        <f>IF('Data Sheet'!B439="","",'Data Sheet'!B439)</f>
        <v/>
      </c>
      <c r="C439" s="28" t="str">
        <f>IF('Data Sheet'!C439="","",'Data Sheet'!C439)</f>
        <v/>
      </c>
      <c r="D439" s="28" t="str">
        <f>IF('Data Sheet'!D439="","",'Data Sheet'!D439)</f>
        <v/>
      </c>
      <c r="E439" s="29" t="str">
        <f t="shared" si="78"/>
        <v/>
      </c>
      <c r="F439" s="51">
        <v>0</v>
      </c>
      <c r="G439" s="49">
        <f t="shared" si="82"/>
        <v>0</v>
      </c>
      <c r="H439" s="49">
        <f t="shared" si="83"/>
        <v>0</v>
      </c>
      <c r="I439" s="49">
        <f t="shared" si="84"/>
        <v>0</v>
      </c>
      <c r="J439" s="49">
        <f t="shared" si="85"/>
        <v>0</v>
      </c>
      <c r="K439" s="49">
        <f t="shared" si="86"/>
        <v>0</v>
      </c>
      <c r="L439" s="49">
        <f t="shared" si="87"/>
        <v>0</v>
      </c>
      <c r="M439" s="49">
        <f t="shared" si="88"/>
        <v>0</v>
      </c>
      <c r="N439" s="29" t="str">
        <f t="shared" si="79"/>
        <v/>
      </c>
      <c r="O439" s="29">
        <f t="shared" si="80"/>
        <v>0</v>
      </c>
      <c r="P439" s="29">
        <f t="shared" si="81"/>
        <v>0</v>
      </c>
      <c r="Q439" s="29">
        <f>IF(A439&lt;&gt;"",SUM(F$2:F439),Q438)</f>
        <v>8</v>
      </c>
      <c r="R439" s="30">
        <f t="shared" si="89"/>
        <v>0</v>
      </c>
    </row>
    <row r="440" spans="1:18" x14ac:dyDescent="0.25">
      <c r="A440" s="27" t="str">
        <f>IF('Data Sheet'!A440="","",'Data Sheet'!A440)</f>
        <v/>
      </c>
      <c r="B440" s="28" t="str">
        <f>IF('Data Sheet'!B440="","",'Data Sheet'!B440)</f>
        <v/>
      </c>
      <c r="C440" s="28" t="str">
        <f>IF('Data Sheet'!C440="","",'Data Sheet'!C440)</f>
        <v/>
      </c>
      <c r="D440" s="28" t="str">
        <f>IF('Data Sheet'!D440="","",'Data Sheet'!D440)</f>
        <v/>
      </c>
      <c r="E440" s="29" t="str">
        <f t="shared" si="78"/>
        <v/>
      </c>
      <c r="F440" s="51">
        <v>0</v>
      </c>
      <c r="G440" s="49">
        <f t="shared" si="82"/>
        <v>0</v>
      </c>
      <c r="H440" s="49">
        <f t="shared" si="83"/>
        <v>0</v>
      </c>
      <c r="I440" s="49">
        <f t="shared" si="84"/>
        <v>0</v>
      </c>
      <c r="J440" s="49">
        <f t="shared" si="85"/>
        <v>0</v>
      </c>
      <c r="K440" s="49">
        <f t="shared" si="86"/>
        <v>0</v>
      </c>
      <c r="L440" s="49">
        <f t="shared" si="87"/>
        <v>0</v>
      </c>
      <c r="M440" s="49">
        <f t="shared" si="88"/>
        <v>0</v>
      </c>
      <c r="N440" s="29" t="str">
        <f t="shared" si="79"/>
        <v/>
      </c>
      <c r="O440" s="29">
        <f t="shared" si="80"/>
        <v>0</v>
      </c>
      <c r="P440" s="29">
        <f t="shared" si="81"/>
        <v>0</v>
      </c>
      <c r="Q440" s="29">
        <f>IF(A440&lt;&gt;"",SUM(F$2:F440),Q439)</f>
        <v>8</v>
      </c>
      <c r="R440" s="30">
        <f t="shared" si="89"/>
        <v>0</v>
      </c>
    </row>
    <row r="441" spans="1:18" x14ac:dyDescent="0.25">
      <c r="A441" s="27" t="str">
        <f>IF('Data Sheet'!A441="","",'Data Sheet'!A441)</f>
        <v/>
      </c>
      <c r="B441" s="28" t="str">
        <f>IF('Data Sheet'!B441="","",'Data Sheet'!B441)</f>
        <v/>
      </c>
      <c r="C441" s="28" t="str">
        <f>IF('Data Sheet'!C441="","",'Data Sheet'!C441)</f>
        <v/>
      </c>
      <c r="D441" s="28" t="str">
        <f>IF('Data Sheet'!D441="","",'Data Sheet'!D441)</f>
        <v/>
      </c>
      <c r="E441" s="29" t="str">
        <f t="shared" si="78"/>
        <v/>
      </c>
      <c r="F441" s="51">
        <v>0</v>
      </c>
      <c r="G441" s="49">
        <f t="shared" si="82"/>
        <v>0</v>
      </c>
      <c r="H441" s="49">
        <f t="shared" si="83"/>
        <v>0</v>
      </c>
      <c r="I441" s="49">
        <f t="shared" si="84"/>
        <v>0</v>
      </c>
      <c r="J441" s="49">
        <f t="shared" si="85"/>
        <v>0</v>
      </c>
      <c r="K441" s="49">
        <f t="shared" si="86"/>
        <v>0</v>
      </c>
      <c r="L441" s="49">
        <f t="shared" si="87"/>
        <v>0</v>
      </c>
      <c r="M441" s="49">
        <f t="shared" si="88"/>
        <v>0</v>
      </c>
      <c r="N441" s="29" t="str">
        <f t="shared" si="79"/>
        <v/>
      </c>
      <c r="O441" s="29">
        <f t="shared" si="80"/>
        <v>0</v>
      </c>
      <c r="P441" s="29">
        <f t="shared" si="81"/>
        <v>0</v>
      </c>
      <c r="Q441" s="29">
        <f>IF(A441&lt;&gt;"",SUM(F$2:F441),Q440)</f>
        <v>8</v>
      </c>
      <c r="R441" s="30">
        <f t="shared" si="89"/>
        <v>0</v>
      </c>
    </row>
    <row r="442" spans="1:18" x14ac:dyDescent="0.25">
      <c r="A442" s="27" t="str">
        <f>IF('Data Sheet'!A442="","",'Data Sheet'!A442)</f>
        <v/>
      </c>
      <c r="B442" s="28" t="str">
        <f>IF('Data Sheet'!B442="","",'Data Sheet'!B442)</f>
        <v/>
      </c>
      <c r="C442" s="28" t="str">
        <f>IF('Data Sheet'!C442="","",'Data Sheet'!C442)</f>
        <v/>
      </c>
      <c r="D442" s="28" t="str">
        <f>IF('Data Sheet'!D442="","",'Data Sheet'!D442)</f>
        <v/>
      </c>
      <c r="E442" s="29" t="str">
        <f t="shared" si="78"/>
        <v/>
      </c>
      <c r="F442" s="51">
        <v>0</v>
      </c>
      <c r="G442" s="49">
        <f t="shared" si="82"/>
        <v>0</v>
      </c>
      <c r="H442" s="49">
        <f t="shared" si="83"/>
        <v>0</v>
      </c>
      <c r="I442" s="49">
        <f t="shared" si="84"/>
        <v>0</v>
      </c>
      <c r="J442" s="49">
        <f t="shared" si="85"/>
        <v>0</v>
      </c>
      <c r="K442" s="49">
        <f t="shared" si="86"/>
        <v>0</v>
      </c>
      <c r="L442" s="49">
        <f t="shared" si="87"/>
        <v>0</v>
      </c>
      <c r="M442" s="49">
        <f t="shared" si="88"/>
        <v>0</v>
      </c>
      <c r="N442" s="29" t="str">
        <f t="shared" si="79"/>
        <v/>
      </c>
      <c r="O442" s="29">
        <f t="shared" si="80"/>
        <v>0</v>
      </c>
      <c r="P442" s="29">
        <f t="shared" si="81"/>
        <v>0</v>
      </c>
      <c r="Q442" s="29">
        <f>IF(A442&lt;&gt;"",SUM(F$2:F442),Q441)</f>
        <v>8</v>
      </c>
      <c r="R442" s="30">
        <f t="shared" si="89"/>
        <v>0</v>
      </c>
    </row>
    <row r="443" spans="1:18" x14ac:dyDescent="0.25">
      <c r="A443" s="27" t="str">
        <f>IF('Data Sheet'!A443="","",'Data Sheet'!A443)</f>
        <v/>
      </c>
      <c r="B443" s="28" t="str">
        <f>IF('Data Sheet'!B443="","",'Data Sheet'!B443)</f>
        <v/>
      </c>
      <c r="C443" s="28" t="str">
        <f>IF('Data Sheet'!C443="","",'Data Sheet'!C443)</f>
        <v/>
      </c>
      <c r="D443" s="28" t="str">
        <f>IF('Data Sheet'!D443="","",'Data Sheet'!D443)</f>
        <v/>
      </c>
      <c r="E443" s="29" t="str">
        <f t="shared" si="78"/>
        <v/>
      </c>
      <c r="F443" s="51">
        <v>0</v>
      </c>
      <c r="G443" s="49">
        <f t="shared" si="82"/>
        <v>0</v>
      </c>
      <c r="H443" s="49">
        <f t="shared" si="83"/>
        <v>0</v>
      </c>
      <c r="I443" s="49">
        <f t="shared" si="84"/>
        <v>0</v>
      </c>
      <c r="J443" s="49">
        <f t="shared" si="85"/>
        <v>0</v>
      </c>
      <c r="K443" s="49">
        <f t="shared" si="86"/>
        <v>0</v>
      </c>
      <c r="L443" s="49">
        <f t="shared" si="87"/>
        <v>0</v>
      </c>
      <c r="M443" s="49">
        <f t="shared" si="88"/>
        <v>0</v>
      </c>
      <c r="N443" s="29" t="str">
        <f t="shared" si="79"/>
        <v/>
      </c>
      <c r="O443" s="29">
        <f t="shared" si="80"/>
        <v>0</v>
      </c>
      <c r="P443" s="29">
        <f t="shared" si="81"/>
        <v>0</v>
      </c>
      <c r="Q443" s="29">
        <f>IF(A443&lt;&gt;"",SUM(F$2:F443),Q442)</f>
        <v>8</v>
      </c>
      <c r="R443" s="30">
        <f t="shared" si="89"/>
        <v>0</v>
      </c>
    </row>
    <row r="444" spans="1:18" x14ac:dyDescent="0.25">
      <c r="A444" s="27" t="str">
        <f>IF('Data Sheet'!A444="","",'Data Sheet'!A444)</f>
        <v/>
      </c>
      <c r="B444" s="28" t="str">
        <f>IF('Data Sheet'!B444="","",'Data Sheet'!B444)</f>
        <v/>
      </c>
      <c r="C444" s="28" t="str">
        <f>IF('Data Sheet'!C444="","",'Data Sheet'!C444)</f>
        <v/>
      </c>
      <c r="D444" s="28" t="str">
        <f>IF('Data Sheet'!D444="","",'Data Sheet'!D444)</f>
        <v/>
      </c>
      <c r="E444" s="29" t="str">
        <f t="shared" si="78"/>
        <v/>
      </c>
      <c r="F444" s="51">
        <v>0</v>
      </c>
      <c r="G444" s="49">
        <f t="shared" si="82"/>
        <v>0</v>
      </c>
      <c r="H444" s="49">
        <f t="shared" si="83"/>
        <v>0</v>
      </c>
      <c r="I444" s="49">
        <f t="shared" si="84"/>
        <v>0</v>
      </c>
      <c r="J444" s="49">
        <f t="shared" si="85"/>
        <v>0</v>
      </c>
      <c r="K444" s="49">
        <f t="shared" si="86"/>
        <v>0</v>
      </c>
      <c r="L444" s="49">
        <f t="shared" si="87"/>
        <v>0</v>
      </c>
      <c r="M444" s="49">
        <f t="shared" si="88"/>
        <v>0</v>
      </c>
      <c r="N444" s="29" t="str">
        <f t="shared" si="79"/>
        <v/>
      </c>
      <c r="O444" s="29">
        <f t="shared" si="80"/>
        <v>0</v>
      </c>
      <c r="P444" s="29">
        <f t="shared" si="81"/>
        <v>0</v>
      </c>
      <c r="Q444" s="29">
        <f>IF(A444&lt;&gt;"",SUM(F$2:F444),Q443)</f>
        <v>8</v>
      </c>
      <c r="R444" s="30">
        <f t="shared" si="89"/>
        <v>0</v>
      </c>
    </row>
    <row r="445" spans="1:18" x14ac:dyDescent="0.25">
      <c r="A445" s="27" t="str">
        <f>IF('Data Sheet'!A445="","",'Data Sheet'!A445)</f>
        <v/>
      </c>
      <c r="B445" s="28" t="str">
        <f>IF('Data Sheet'!B445="","",'Data Sheet'!B445)</f>
        <v/>
      </c>
      <c r="C445" s="28" t="str">
        <f>IF('Data Sheet'!C445="","",'Data Sheet'!C445)</f>
        <v/>
      </c>
      <c r="D445" s="28" t="str">
        <f>IF('Data Sheet'!D445="","",'Data Sheet'!D445)</f>
        <v/>
      </c>
      <c r="E445" s="29" t="str">
        <f t="shared" si="78"/>
        <v/>
      </c>
      <c r="F445" s="51">
        <v>0</v>
      </c>
      <c r="G445" s="49">
        <f t="shared" si="82"/>
        <v>0</v>
      </c>
      <c r="H445" s="49">
        <f t="shared" si="83"/>
        <v>0</v>
      </c>
      <c r="I445" s="49">
        <f t="shared" si="84"/>
        <v>0</v>
      </c>
      <c r="J445" s="49">
        <f t="shared" si="85"/>
        <v>0</v>
      </c>
      <c r="K445" s="49">
        <f t="shared" si="86"/>
        <v>0</v>
      </c>
      <c r="L445" s="49">
        <f t="shared" si="87"/>
        <v>0</v>
      </c>
      <c r="M445" s="49">
        <f t="shared" si="88"/>
        <v>0</v>
      </c>
      <c r="N445" s="29" t="str">
        <f t="shared" si="79"/>
        <v/>
      </c>
      <c r="O445" s="29">
        <f t="shared" si="80"/>
        <v>0</v>
      </c>
      <c r="P445" s="29">
        <f t="shared" si="81"/>
        <v>0</v>
      </c>
      <c r="Q445" s="29">
        <f>IF(A445&lt;&gt;"",SUM(F$2:F445),Q444)</f>
        <v>8</v>
      </c>
      <c r="R445" s="30">
        <f t="shared" si="89"/>
        <v>0</v>
      </c>
    </row>
    <row r="446" spans="1:18" x14ac:dyDescent="0.25">
      <c r="A446" s="27" t="str">
        <f>IF('Data Sheet'!A446="","",'Data Sheet'!A446)</f>
        <v/>
      </c>
      <c r="B446" s="28" t="str">
        <f>IF('Data Sheet'!B446="","",'Data Sheet'!B446)</f>
        <v/>
      </c>
      <c r="C446" s="28" t="str">
        <f>IF('Data Sheet'!C446="","",'Data Sheet'!C446)</f>
        <v/>
      </c>
      <c r="D446" s="28" t="str">
        <f>IF('Data Sheet'!D446="","",'Data Sheet'!D446)</f>
        <v/>
      </c>
      <c r="E446" s="29" t="str">
        <f t="shared" si="78"/>
        <v/>
      </c>
      <c r="F446" s="51">
        <v>0</v>
      </c>
      <c r="G446" s="49">
        <f t="shared" si="82"/>
        <v>0</v>
      </c>
      <c r="H446" s="49">
        <f t="shared" si="83"/>
        <v>0</v>
      </c>
      <c r="I446" s="49">
        <f t="shared" si="84"/>
        <v>0</v>
      </c>
      <c r="J446" s="49">
        <f t="shared" si="85"/>
        <v>0</v>
      </c>
      <c r="K446" s="49">
        <f t="shared" si="86"/>
        <v>0</v>
      </c>
      <c r="L446" s="49">
        <f t="shared" si="87"/>
        <v>0</v>
      </c>
      <c r="M446" s="49">
        <f t="shared" si="88"/>
        <v>0</v>
      </c>
      <c r="N446" s="29" t="str">
        <f t="shared" si="79"/>
        <v/>
      </c>
      <c r="O446" s="29">
        <f t="shared" si="80"/>
        <v>0</v>
      </c>
      <c r="P446" s="29">
        <f t="shared" si="81"/>
        <v>0</v>
      </c>
      <c r="Q446" s="29">
        <f>IF(A446&lt;&gt;"",SUM(F$2:F446),Q445)</f>
        <v>8</v>
      </c>
      <c r="R446" s="30">
        <f t="shared" si="89"/>
        <v>0</v>
      </c>
    </row>
    <row r="447" spans="1:18" x14ac:dyDescent="0.25">
      <c r="A447" s="27" t="str">
        <f>IF('Data Sheet'!A447="","",'Data Sheet'!A447)</f>
        <v/>
      </c>
      <c r="B447" s="28" t="str">
        <f>IF('Data Sheet'!B447="","",'Data Sheet'!B447)</f>
        <v/>
      </c>
      <c r="C447" s="28" t="str">
        <f>IF('Data Sheet'!C447="","",'Data Sheet'!C447)</f>
        <v/>
      </c>
      <c r="D447" s="28" t="str">
        <f>IF('Data Sheet'!D447="","",'Data Sheet'!D447)</f>
        <v/>
      </c>
      <c r="E447" s="29" t="str">
        <f t="shared" ref="E447:E500" si="90">IF(A447="","",IF(OR(A447="SF",A447="PF"),"F",IF(OR(A447="SG",A447="PG"),"G","C")))</f>
        <v/>
      </c>
      <c r="F447" s="51">
        <v>0</v>
      </c>
      <c r="G447" s="49">
        <f t="shared" si="82"/>
        <v>0</v>
      </c>
      <c r="H447" s="49">
        <f t="shared" si="83"/>
        <v>0</v>
      </c>
      <c r="I447" s="49">
        <f t="shared" si="84"/>
        <v>0</v>
      </c>
      <c r="J447" s="49">
        <f t="shared" si="85"/>
        <v>0</v>
      </c>
      <c r="K447" s="49">
        <f t="shared" si="86"/>
        <v>0</v>
      </c>
      <c r="L447" s="49">
        <f t="shared" si="87"/>
        <v>0</v>
      </c>
      <c r="M447" s="49">
        <f t="shared" si="88"/>
        <v>0</v>
      </c>
      <c r="N447" s="29" t="str">
        <f t="shared" si="79"/>
        <v/>
      </c>
      <c r="O447" s="29">
        <f t="shared" si="80"/>
        <v>0</v>
      </c>
      <c r="P447" s="29">
        <f t="shared" si="81"/>
        <v>0</v>
      </c>
      <c r="Q447" s="29">
        <f>IF(A447&lt;&gt;"",SUM(F$2:F447),Q446)</f>
        <v>8</v>
      </c>
      <c r="R447" s="30">
        <f t="shared" si="89"/>
        <v>0</v>
      </c>
    </row>
    <row r="448" spans="1:18" x14ac:dyDescent="0.25">
      <c r="A448" s="27" t="str">
        <f>IF('Data Sheet'!A448="","",'Data Sheet'!A448)</f>
        <v/>
      </c>
      <c r="B448" s="28" t="str">
        <f>IF('Data Sheet'!B448="","",'Data Sheet'!B448)</f>
        <v/>
      </c>
      <c r="C448" s="28" t="str">
        <f>IF('Data Sheet'!C448="","",'Data Sheet'!C448)</f>
        <v/>
      </c>
      <c r="D448" s="28" t="str">
        <f>IF('Data Sheet'!D448="","",'Data Sheet'!D448)</f>
        <v/>
      </c>
      <c r="E448" s="29" t="str">
        <f t="shared" si="90"/>
        <v/>
      </c>
      <c r="F448" s="51">
        <v>0</v>
      </c>
      <c r="G448" s="49">
        <f t="shared" si="82"/>
        <v>0</v>
      </c>
      <c r="H448" s="49">
        <f t="shared" si="83"/>
        <v>0</v>
      </c>
      <c r="I448" s="49">
        <f t="shared" si="84"/>
        <v>0</v>
      </c>
      <c r="J448" s="49">
        <f t="shared" si="85"/>
        <v>0</v>
      </c>
      <c r="K448" s="49">
        <f t="shared" si="86"/>
        <v>0</v>
      </c>
      <c r="L448" s="49">
        <f t="shared" si="87"/>
        <v>0</v>
      </c>
      <c r="M448" s="49">
        <f t="shared" si="88"/>
        <v>0</v>
      </c>
      <c r="N448" s="29" t="str">
        <f t="shared" si="79"/>
        <v/>
      </c>
      <c r="O448" s="29">
        <f t="shared" si="80"/>
        <v>0</v>
      </c>
      <c r="P448" s="29">
        <f t="shared" si="81"/>
        <v>0</v>
      </c>
      <c r="Q448" s="29">
        <f>IF(A448&lt;&gt;"",SUM(F$2:F448),Q447)</f>
        <v>8</v>
      </c>
      <c r="R448" s="30">
        <f t="shared" si="89"/>
        <v>0</v>
      </c>
    </row>
    <row r="449" spans="1:18" x14ac:dyDescent="0.25">
      <c r="A449" s="27" t="str">
        <f>IF('Data Sheet'!A449="","",'Data Sheet'!A449)</f>
        <v/>
      </c>
      <c r="B449" s="28" t="str">
        <f>IF('Data Sheet'!B449="","",'Data Sheet'!B449)</f>
        <v/>
      </c>
      <c r="C449" s="28" t="str">
        <f>IF('Data Sheet'!C449="","",'Data Sheet'!C449)</f>
        <v/>
      </c>
      <c r="D449" s="28" t="str">
        <f>IF('Data Sheet'!D449="","",'Data Sheet'!D449)</f>
        <v/>
      </c>
      <c r="E449" s="29" t="str">
        <f t="shared" si="90"/>
        <v/>
      </c>
      <c r="F449" s="51">
        <v>0</v>
      </c>
      <c r="G449" s="49">
        <f t="shared" si="82"/>
        <v>0</v>
      </c>
      <c r="H449" s="49">
        <f t="shared" si="83"/>
        <v>0</v>
      </c>
      <c r="I449" s="49">
        <f t="shared" si="84"/>
        <v>0</v>
      </c>
      <c r="J449" s="49">
        <f t="shared" si="85"/>
        <v>0</v>
      </c>
      <c r="K449" s="49">
        <f t="shared" si="86"/>
        <v>0</v>
      </c>
      <c r="L449" s="49">
        <f t="shared" si="87"/>
        <v>0</v>
      </c>
      <c r="M449" s="49">
        <f t="shared" si="88"/>
        <v>0</v>
      </c>
      <c r="N449" s="29" t="str">
        <f t="shared" si="79"/>
        <v/>
      </c>
      <c r="O449" s="29">
        <f t="shared" si="80"/>
        <v>0</v>
      </c>
      <c r="P449" s="29">
        <f t="shared" si="81"/>
        <v>0</v>
      </c>
      <c r="Q449" s="29">
        <f>IF(A449&lt;&gt;"",SUM(F$2:F449),Q448)</f>
        <v>8</v>
      </c>
      <c r="R449" s="30">
        <f t="shared" si="89"/>
        <v>0</v>
      </c>
    </row>
    <row r="450" spans="1:18" x14ac:dyDescent="0.25">
      <c r="A450" s="27" t="str">
        <f>IF('Data Sheet'!A450="","",'Data Sheet'!A450)</f>
        <v/>
      </c>
      <c r="B450" s="28" t="str">
        <f>IF('Data Sheet'!B450="","",'Data Sheet'!B450)</f>
        <v/>
      </c>
      <c r="C450" s="28" t="str">
        <f>IF('Data Sheet'!C450="","",'Data Sheet'!C450)</f>
        <v/>
      </c>
      <c r="D450" s="28" t="str">
        <f>IF('Data Sheet'!D450="","",'Data Sheet'!D450)</f>
        <v/>
      </c>
      <c r="E450" s="29" t="str">
        <f t="shared" si="90"/>
        <v/>
      </c>
      <c r="F450" s="51">
        <v>0</v>
      </c>
      <c r="G450" s="49">
        <f t="shared" si="82"/>
        <v>0</v>
      </c>
      <c r="H450" s="49">
        <f t="shared" si="83"/>
        <v>0</v>
      </c>
      <c r="I450" s="49">
        <f t="shared" si="84"/>
        <v>0</v>
      </c>
      <c r="J450" s="49">
        <f t="shared" si="85"/>
        <v>0</v>
      </c>
      <c r="K450" s="49">
        <f t="shared" si="86"/>
        <v>0</v>
      </c>
      <c r="L450" s="49">
        <f t="shared" si="87"/>
        <v>0</v>
      </c>
      <c r="M450" s="49">
        <f t="shared" si="88"/>
        <v>0</v>
      </c>
      <c r="N450" s="29" t="str">
        <f t="shared" ref="N450:N500" si="91">IFERROR(VLOOKUP(B450,$U$16:$U$23,1,FALSE), "")</f>
        <v/>
      </c>
      <c r="O450" s="29">
        <f t="shared" ref="O450:O500" si="92">IF(A450="",0,IF(N450="",D450,D450*10))</f>
        <v>0</v>
      </c>
      <c r="P450" s="29">
        <f t="shared" ref="P450:P500" si="93">O450*F450</f>
        <v>0</v>
      </c>
      <c r="Q450" s="29">
        <f>IF(A450&lt;&gt;"",SUM(F$2:F450),Q449)</f>
        <v>8</v>
      </c>
      <c r="R450" s="30">
        <f t="shared" si="89"/>
        <v>0</v>
      </c>
    </row>
    <row r="451" spans="1:18" x14ac:dyDescent="0.25">
      <c r="A451" s="27" t="str">
        <f>IF('Data Sheet'!A451="","",'Data Sheet'!A451)</f>
        <v/>
      </c>
      <c r="B451" s="28" t="str">
        <f>IF('Data Sheet'!B451="","",'Data Sheet'!B451)</f>
        <v/>
      </c>
      <c r="C451" s="28" t="str">
        <f>IF('Data Sheet'!C451="","",'Data Sheet'!C451)</f>
        <v/>
      </c>
      <c r="D451" s="28" t="str">
        <f>IF('Data Sheet'!D451="","",'Data Sheet'!D451)</f>
        <v/>
      </c>
      <c r="E451" s="29" t="str">
        <f t="shared" si="90"/>
        <v/>
      </c>
      <c r="F451" s="51">
        <v>0</v>
      </c>
      <c r="G451" s="49">
        <f t="shared" ref="G451:G500" si="94">IF(A451="SF",1,0)</f>
        <v>0</v>
      </c>
      <c r="H451" s="49">
        <f t="shared" ref="H451:H500" si="95">IF(A451="SG",1,0)</f>
        <v>0</v>
      </c>
      <c r="I451" s="49">
        <f t="shared" ref="I451:I500" si="96">IF(A451="C",1,0)</f>
        <v>0</v>
      </c>
      <c r="J451" s="49">
        <f t="shared" ref="J451:J500" si="97">IF(A451="PG",1,0)</f>
        <v>0</v>
      </c>
      <c r="K451" s="49">
        <f t="shared" ref="K451:K500" si="98">IF(A451="PF",1,0)</f>
        <v>0</v>
      </c>
      <c r="L451" s="49">
        <f t="shared" ref="L451:L500" si="99">IF(E451="G",1,0)</f>
        <v>0</v>
      </c>
      <c r="M451" s="49">
        <f t="shared" ref="M451:M500" si="100">IF(E451="F",1,0)</f>
        <v>0</v>
      </c>
      <c r="N451" s="29" t="str">
        <f t="shared" si="91"/>
        <v/>
      </c>
      <c r="O451" s="29">
        <f t="shared" si="92"/>
        <v>0</v>
      </c>
      <c r="P451" s="29">
        <f t="shared" si="93"/>
        <v>0</v>
      </c>
      <c r="Q451" s="29">
        <f>IF(A451&lt;&gt;"",SUM(F$2:F451),Q450)</f>
        <v>8</v>
      </c>
      <c r="R451" s="30">
        <f t="shared" si="89"/>
        <v>0</v>
      </c>
    </row>
    <row r="452" spans="1:18" x14ac:dyDescent="0.25">
      <c r="A452" s="27" t="str">
        <f>IF('Data Sheet'!A452="","",'Data Sheet'!A452)</f>
        <v/>
      </c>
      <c r="B452" s="28" t="str">
        <f>IF('Data Sheet'!B452="","",'Data Sheet'!B452)</f>
        <v/>
      </c>
      <c r="C452" s="28" t="str">
        <f>IF('Data Sheet'!C452="","",'Data Sheet'!C452)</f>
        <v/>
      </c>
      <c r="D452" s="28" t="str">
        <f>IF('Data Sheet'!D452="","",'Data Sheet'!D452)</f>
        <v/>
      </c>
      <c r="E452" s="29" t="str">
        <f t="shared" si="90"/>
        <v/>
      </c>
      <c r="F452" s="51">
        <v>0</v>
      </c>
      <c r="G452" s="49">
        <f t="shared" si="94"/>
        <v>0</v>
      </c>
      <c r="H452" s="49">
        <f t="shared" si="95"/>
        <v>0</v>
      </c>
      <c r="I452" s="49">
        <f t="shared" si="96"/>
        <v>0</v>
      </c>
      <c r="J452" s="49">
        <f t="shared" si="97"/>
        <v>0</v>
      </c>
      <c r="K452" s="49">
        <f t="shared" si="98"/>
        <v>0</v>
      </c>
      <c r="L452" s="49">
        <f t="shared" si="99"/>
        <v>0</v>
      </c>
      <c r="M452" s="49">
        <f t="shared" si="100"/>
        <v>0</v>
      </c>
      <c r="N452" s="29" t="str">
        <f t="shared" si="91"/>
        <v/>
      </c>
      <c r="O452" s="29">
        <f t="shared" si="92"/>
        <v>0</v>
      </c>
      <c r="P452" s="29">
        <f t="shared" si="93"/>
        <v>0</v>
      </c>
      <c r="Q452" s="29">
        <f>IF(A452&lt;&gt;"",SUM(F$2:F452),Q451)</f>
        <v>8</v>
      </c>
      <c r="R452" s="30">
        <f t="shared" ref="R452:R498" si="101">IF(Q452=Q451,0,Q452)</f>
        <v>0</v>
      </c>
    </row>
    <row r="453" spans="1:18" x14ac:dyDescent="0.25">
      <c r="A453" s="27" t="str">
        <f>IF('Data Sheet'!A453="","",'Data Sheet'!A453)</f>
        <v/>
      </c>
      <c r="B453" s="28" t="str">
        <f>IF('Data Sheet'!B453="","",'Data Sheet'!B453)</f>
        <v/>
      </c>
      <c r="C453" s="28" t="str">
        <f>IF('Data Sheet'!C453="","",'Data Sheet'!C453)</f>
        <v/>
      </c>
      <c r="D453" s="28" t="str">
        <f>IF('Data Sheet'!D453="","",'Data Sheet'!D453)</f>
        <v/>
      </c>
      <c r="E453" s="29" t="str">
        <f t="shared" si="90"/>
        <v/>
      </c>
      <c r="F453" s="51">
        <v>0</v>
      </c>
      <c r="G453" s="49">
        <f t="shared" si="94"/>
        <v>0</v>
      </c>
      <c r="H453" s="49">
        <f t="shared" si="95"/>
        <v>0</v>
      </c>
      <c r="I453" s="49">
        <f t="shared" si="96"/>
        <v>0</v>
      </c>
      <c r="J453" s="49">
        <f t="shared" si="97"/>
        <v>0</v>
      </c>
      <c r="K453" s="49">
        <f t="shared" si="98"/>
        <v>0</v>
      </c>
      <c r="L453" s="49">
        <f t="shared" si="99"/>
        <v>0</v>
      </c>
      <c r="M453" s="49">
        <f t="shared" si="100"/>
        <v>0</v>
      </c>
      <c r="N453" s="29" t="str">
        <f t="shared" si="91"/>
        <v/>
      </c>
      <c r="O453" s="29">
        <f t="shared" si="92"/>
        <v>0</v>
      </c>
      <c r="P453" s="29">
        <f t="shared" si="93"/>
        <v>0</v>
      </c>
      <c r="Q453" s="29">
        <f>IF(A453&lt;&gt;"",SUM(F$2:F453),Q452)</f>
        <v>8</v>
      </c>
      <c r="R453" s="30">
        <f t="shared" si="101"/>
        <v>0</v>
      </c>
    </row>
    <row r="454" spans="1:18" x14ac:dyDescent="0.25">
      <c r="A454" s="27" t="str">
        <f>IF('Data Sheet'!A454="","",'Data Sheet'!A454)</f>
        <v/>
      </c>
      <c r="B454" s="28" t="str">
        <f>IF('Data Sheet'!B454="","",'Data Sheet'!B454)</f>
        <v/>
      </c>
      <c r="C454" s="28" t="str">
        <f>IF('Data Sheet'!C454="","",'Data Sheet'!C454)</f>
        <v/>
      </c>
      <c r="D454" s="28" t="str">
        <f>IF('Data Sheet'!D454="","",'Data Sheet'!D454)</f>
        <v/>
      </c>
      <c r="E454" s="29" t="str">
        <f t="shared" si="90"/>
        <v/>
      </c>
      <c r="F454" s="51">
        <v>0</v>
      </c>
      <c r="G454" s="49">
        <f t="shared" si="94"/>
        <v>0</v>
      </c>
      <c r="H454" s="49">
        <f t="shared" si="95"/>
        <v>0</v>
      </c>
      <c r="I454" s="49">
        <f t="shared" si="96"/>
        <v>0</v>
      </c>
      <c r="J454" s="49">
        <f t="shared" si="97"/>
        <v>0</v>
      </c>
      <c r="K454" s="49">
        <f t="shared" si="98"/>
        <v>0</v>
      </c>
      <c r="L454" s="49">
        <f t="shared" si="99"/>
        <v>0</v>
      </c>
      <c r="M454" s="49">
        <f t="shared" si="100"/>
        <v>0</v>
      </c>
      <c r="N454" s="29" t="str">
        <f t="shared" si="91"/>
        <v/>
      </c>
      <c r="O454" s="29">
        <f t="shared" si="92"/>
        <v>0</v>
      </c>
      <c r="P454" s="29">
        <f t="shared" si="93"/>
        <v>0</v>
      </c>
      <c r="Q454" s="29">
        <f>IF(A454&lt;&gt;"",SUM(F$2:F454),Q453)</f>
        <v>8</v>
      </c>
      <c r="R454" s="30">
        <f t="shared" si="101"/>
        <v>0</v>
      </c>
    </row>
    <row r="455" spans="1:18" x14ac:dyDescent="0.25">
      <c r="A455" s="27" t="str">
        <f>IF('Data Sheet'!A455="","",'Data Sheet'!A455)</f>
        <v/>
      </c>
      <c r="B455" s="28" t="str">
        <f>IF('Data Sheet'!B455="","",'Data Sheet'!B455)</f>
        <v/>
      </c>
      <c r="C455" s="28" t="str">
        <f>IF('Data Sheet'!C455="","",'Data Sheet'!C455)</f>
        <v/>
      </c>
      <c r="D455" s="28" t="str">
        <f>IF('Data Sheet'!D455="","",'Data Sheet'!D455)</f>
        <v/>
      </c>
      <c r="E455" s="29" t="str">
        <f t="shared" si="90"/>
        <v/>
      </c>
      <c r="F455" s="51">
        <v>0</v>
      </c>
      <c r="G455" s="49">
        <f t="shared" si="94"/>
        <v>0</v>
      </c>
      <c r="H455" s="49">
        <f t="shared" si="95"/>
        <v>0</v>
      </c>
      <c r="I455" s="49">
        <f t="shared" si="96"/>
        <v>0</v>
      </c>
      <c r="J455" s="49">
        <f t="shared" si="97"/>
        <v>0</v>
      </c>
      <c r="K455" s="49">
        <f t="shared" si="98"/>
        <v>0</v>
      </c>
      <c r="L455" s="49">
        <f t="shared" si="99"/>
        <v>0</v>
      </c>
      <c r="M455" s="49">
        <f t="shared" si="100"/>
        <v>0</v>
      </c>
      <c r="N455" s="29" t="str">
        <f t="shared" si="91"/>
        <v/>
      </c>
      <c r="O455" s="29">
        <f t="shared" si="92"/>
        <v>0</v>
      </c>
      <c r="P455" s="29">
        <f t="shared" si="93"/>
        <v>0</v>
      </c>
      <c r="Q455" s="29">
        <f>IF(A455&lt;&gt;"",SUM(F$2:F455),Q454)</f>
        <v>8</v>
      </c>
      <c r="R455" s="30">
        <f t="shared" si="101"/>
        <v>0</v>
      </c>
    </row>
    <row r="456" spans="1:18" x14ac:dyDescent="0.25">
      <c r="A456" s="27" t="str">
        <f>IF('Data Sheet'!A456="","",'Data Sheet'!A456)</f>
        <v/>
      </c>
      <c r="B456" s="28" t="str">
        <f>IF('Data Sheet'!B456="","",'Data Sheet'!B456)</f>
        <v/>
      </c>
      <c r="C456" s="28" t="str">
        <f>IF('Data Sheet'!C456="","",'Data Sheet'!C456)</f>
        <v/>
      </c>
      <c r="D456" s="28" t="str">
        <f>IF('Data Sheet'!D456="","",'Data Sheet'!D456)</f>
        <v/>
      </c>
      <c r="E456" s="29" t="str">
        <f t="shared" si="90"/>
        <v/>
      </c>
      <c r="F456" s="51">
        <v>0</v>
      </c>
      <c r="G456" s="49">
        <f t="shared" si="94"/>
        <v>0</v>
      </c>
      <c r="H456" s="49">
        <f t="shared" si="95"/>
        <v>0</v>
      </c>
      <c r="I456" s="49">
        <f t="shared" si="96"/>
        <v>0</v>
      </c>
      <c r="J456" s="49">
        <f t="shared" si="97"/>
        <v>0</v>
      </c>
      <c r="K456" s="49">
        <f t="shared" si="98"/>
        <v>0</v>
      </c>
      <c r="L456" s="49">
        <f t="shared" si="99"/>
        <v>0</v>
      </c>
      <c r="M456" s="49">
        <f t="shared" si="100"/>
        <v>0</v>
      </c>
      <c r="N456" s="29" t="str">
        <f t="shared" si="91"/>
        <v/>
      </c>
      <c r="O456" s="29">
        <f t="shared" si="92"/>
        <v>0</v>
      </c>
      <c r="P456" s="29">
        <f t="shared" si="93"/>
        <v>0</v>
      </c>
      <c r="Q456" s="29">
        <f>IF(A456&lt;&gt;"",SUM(F$2:F456),Q455)</f>
        <v>8</v>
      </c>
      <c r="R456" s="30">
        <f t="shared" si="101"/>
        <v>0</v>
      </c>
    </row>
    <row r="457" spans="1:18" x14ac:dyDescent="0.25">
      <c r="A457" s="27" t="str">
        <f>IF('Data Sheet'!A457="","",'Data Sheet'!A457)</f>
        <v/>
      </c>
      <c r="B457" s="28" t="str">
        <f>IF('Data Sheet'!B457="","",'Data Sheet'!B457)</f>
        <v/>
      </c>
      <c r="C457" s="28" t="str">
        <f>IF('Data Sheet'!C457="","",'Data Sheet'!C457)</f>
        <v/>
      </c>
      <c r="D457" s="28" t="str">
        <f>IF('Data Sheet'!D457="","",'Data Sheet'!D457)</f>
        <v/>
      </c>
      <c r="E457" s="29" t="str">
        <f t="shared" si="90"/>
        <v/>
      </c>
      <c r="F457" s="51">
        <v>0</v>
      </c>
      <c r="G457" s="49">
        <f t="shared" si="94"/>
        <v>0</v>
      </c>
      <c r="H457" s="49">
        <f t="shared" si="95"/>
        <v>0</v>
      </c>
      <c r="I457" s="49">
        <f t="shared" si="96"/>
        <v>0</v>
      </c>
      <c r="J457" s="49">
        <f t="shared" si="97"/>
        <v>0</v>
      </c>
      <c r="K457" s="49">
        <f t="shared" si="98"/>
        <v>0</v>
      </c>
      <c r="L457" s="49">
        <f t="shared" si="99"/>
        <v>0</v>
      </c>
      <c r="M457" s="49">
        <f t="shared" si="100"/>
        <v>0</v>
      </c>
      <c r="N457" s="29" t="str">
        <f t="shared" si="91"/>
        <v/>
      </c>
      <c r="O457" s="29">
        <f t="shared" si="92"/>
        <v>0</v>
      </c>
      <c r="P457" s="29">
        <f t="shared" si="93"/>
        <v>0</v>
      </c>
      <c r="Q457" s="29">
        <f>IF(A457&lt;&gt;"",SUM(F$2:F457),Q456)</f>
        <v>8</v>
      </c>
      <c r="R457" s="30">
        <f t="shared" si="101"/>
        <v>0</v>
      </c>
    </row>
    <row r="458" spans="1:18" x14ac:dyDescent="0.25">
      <c r="A458" s="27" t="str">
        <f>IF('Data Sheet'!A458="","",'Data Sheet'!A458)</f>
        <v/>
      </c>
      <c r="B458" s="28" t="str">
        <f>IF('Data Sheet'!B458="","",'Data Sheet'!B458)</f>
        <v/>
      </c>
      <c r="C458" s="28" t="str">
        <f>IF('Data Sheet'!C458="","",'Data Sheet'!C458)</f>
        <v/>
      </c>
      <c r="D458" s="28" t="str">
        <f>IF('Data Sheet'!D458="","",'Data Sheet'!D458)</f>
        <v/>
      </c>
      <c r="E458" s="29" t="str">
        <f t="shared" si="90"/>
        <v/>
      </c>
      <c r="F458" s="51">
        <v>0</v>
      </c>
      <c r="G458" s="49">
        <f t="shared" si="94"/>
        <v>0</v>
      </c>
      <c r="H458" s="49">
        <f t="shared" si="95"/>
        <v>0</v>
      </c>
      <c r="I458" s="49">
        <f t="shared" si="96"/>
        <v>0</v>
      </c>
      <c r="J458" s="49">
        <f t="shared" si="97"/>
        <v>0</v>
      </c>
      <c r="K458" s="49">
        <f t="shared" si="98"/>
        <v>0</v>
      </c>
      <c r="L458" s="49">
        <f t="shared" si="99"/>
        <v>0</v>
      </c>
      <c r="M458" s="49">
        <f t="shared" si="100"/>
        <v>0</v>
      </c>
      <c r="N458" s="29" t="str">
        <f t="shared" si="91"/>
        <v/>
      </c>
      <c r="O458" s="29">
        <f t="shared" si="92"/>
        <v>0</v>
      </c>
      <c r="P458" s="29">
        <f t="shared" si="93"/>
        <v>0</v>
      </c>
      <c r="Q458" s="29">
        <f>IF(A458&lt;&gt;"",SUM(F$2:F458),Q457)</f>
        <v>8</v>
      </c>
      <c r="R458" s="30">
        <f t="shared" si="101"/>
        <v>0</v>
      </c>
    </row>
    <row r="459" spans="1:18" x14ac:dyDescent="0.25">
      <c r="A459" s="27" t="str">
        <f>IF('Data Sheet'!A459="","",'Data Sheet'!A459)</f>
        <v/>
      </c>
      <c r="B459" s="28" t="str">
        <f>IF('Data Sheet'!B459="","",'Data Sheet'!B459)</f>
        <v/>
      </c>
      <c r="C459" s="28" t="str">
        <f>IF('Data Sheet'!C459="","",'Data Sheet'!C459)</f>
        <v/>
      </c>
      <c r="D459" s="28" t="str">
        <f>IF('Data Sheet'!D459="","",'Data Sheet'!D459)</f>
        <v/>
      </c>
      <c r="E459" s="29" t="str">
        <f t="shared" si="90"/>
        <v/>
      </c>
      <c r="F459" s="51">
        <v>0</v>
      </c>
      <c r="G459" s="49">
        <f t="shared" si="94"/>
        <v>0</v>
      </c>
      <c r="H459" s="49">
        <f t="shared" si="95"/>
        <v>0</v>
      </c>
      <c r="I459" s="49">
        <f t="shared" si="96"/>
        <v>0</v>
      </c>
      <c r="J459" s="49">
        <f t="shared" si="97"/>
        <v>0</v>
      </c>
      <c r="K459" s="49">
        <f t="shared" si="98"/>
        <v>0</v>
      </c>
      <c r="L459" s="49">
        <f t="shared" si="99"/>
        <v>0</v>
      </c>
      <c r="M459" s="49">
        <f t="shared" si="100"/>
        <v>0</v>
      </c>
      <c r="N459" s="29" t="str">
        <f t="shared" si="91"/>
        <v/>
      </c>
      <c r="O459" s="29">
        <f t="shared" si="92"/>
        <v>0</v>
      </c>
      <c r="P459" s="29">
        <f t="shared" si="93"/>
        <v>0</v>
      </c>
      <c r="Q459" s="29">
        <f>IF(A459&lt;&gt;"",SUM(F$2:F459),Q458)</f>
        <v>8</v>
      </c>
      <c r="R459" s="30">
        <f t="shared" si="101"/>
        <v>0</v>
      </c>
    </row>
    <row r="460" spans="1:18" x14ac:dyDescent="0.25">
      <c r="A460" s="27" t="str">
        <f>IF('Data Sheet'!A460="","",'Data Sheet'!A460)</f>
        <v/>
      </c>
      <c r="B460" s="28" t="str">
        <f>IF('Data Sheet'!B460="","",'Data Sheet'!B460)</f>
        <v/>
      </c>
      <c r="C460" s="28" t="str">
        <f>IF('Data Sheet'!C460="","",'Data Sheet'!C460)</f>
        <v/>
      </c>
      <c r="D460" s="28" t="str">
        <f>IF('Data Sheet'!D460="","",'Data Sheet'!D460)</f>
        <v/>
      </c>
      <c r="E460" s="29" t="str">
        <f t="shared" si="90"/>
        <v/>
      </c>
      <c r="F460" s="51">
        <v>0</v>
      </c>
      <c r="G460" s="49">
        <f t="shared" si="94"/>
        <v>0</v>
      </c>
      <c r="H460" s="49">
        <f t="shared" si="95"/>
        <v>0</v>
      </c>
      <c r="I460" s="49">
        <f t="shared" si="96"/>
        <v>0</v>
      </c>
      <c r="J460" s="49">
        <f t="shared" si="97"/>
        <v>0</v>
      </c>
      <c r="K460" s="49">
        <f t="shared" si="98"/>
        <v>0</v>
      </c>
      <c r="L460" s="49">
        <f t="shared" si="99"/>
        <v>0</v>
      </c>
      <c r="M460" s="49">
        <f t="shared" si="100"/>
        <v>0</v>
      </c>
      <c r="N460" s="29" t="str">
        <f t="shared" si="91"/>
        <v/>
      </c>
      <c r="O460" s="29">
        <f t="shared" si="92"/>
        <v>0</v>
      </c>
      <c r="P460" s="29">
        <f t="shared" si="93"/>
        <v>0</v>
      </c>
      <c r="Q460" s="29">
        <f>IF(A460&lt;&gt;"",SUM(F$2:F460),Q459)</f>
        <v>8</v>
      </c>
      <c r="R460" s="30">
        <f t="shared" si="101"/>
        <v>0</v>
      </c>
    </row>
    <row r="461" spans="1:18" x14ac:dyDescent="0.25">
      <c r="A461" s="27" t="str">
        <f>IF('Data Sheet'!A461="","",'Data Sheet'!A461)</f>
        <v/>
      </c>
      <c r="B461" s="28" t="str">
        <f>IF('Data Sheet'!B461="","",'Data Sheet'!B461)</f>
        <v/>
      </c>
      <c r="C461" s="28" t="str">
        <f>IF('Data Sheet'!C461="","",'Data Sheet'!C461)</f>
        <v/>
      </c>
      <c r="D461" s="28" t="str">
        <f>IF('Data Sheet'!D461="","",'Data Sheet'!D461)</f>
        <v/>
      </c>
      <c r="E461" s="29" t="str">
        <f t="shared" si="90"/>
        <v/>
      </c>
      <c r="F461" s="51">
        <v>0</v>
      </c>
      <c r="G461" s="49">
        <f t="shared" si="94"/>
        <v>0</v>
      </c>
      <c r="H461" s="49">
        <f t="shared" si="95"/>
        <v>0</v>
      </c>
      <c r="I461" s="49">
        <f t="shared" si="96"/>
        <v>0</v>
      </c>
      <c r="J461" s="49">
        <f t="shared" si="97"/>
        <v>0</v>
      </c>
      <c r="K461" s="49">
        <f t="shared" si="98"/>
        <v>0</v>
      </c>
      <c r="L461" s="49">
        <f t="shared" si="99"/>
        <v>0</v>
      </c>
      <c r="M461" s="49">
        <f t="shared" si="100"/>
        <v>0</v>
      </c>
      <c r="N461" s="29" t="str">
        <f t="shared" si="91"/>
        <v/>
      </c>
      <c r="O461" s="29">
        <f t="shared" si="92"/>
        <v>0</v>
      </c>
      <c r="P461" s="29">
        <f t="shared" si="93"/>
        <v>0</v>
      </c>
      <c r="Q461" s="29">
        <f>IF(A461&lt;&gt;"",SUM(F$2:F461),Q460)</f>
        <v>8</v>
      </c>
      <c r="R461" s="30">
        <f t="shared" si="101"/>
        <v>0</v>
      </c>
    </row>
    <row r="462" spans="1:18" x14ac:dyDescent="0.25">
      <c r="A462" s="27" t="str">
        <f>IF('Data Sheet'!A462="","",'Data Sheet'!A462)</f>
        <v/>
      </c>
      <c r="B462" s="28" t="str">
        <f>IF('Data Sheet'!B462="","",'Data Sheet'!B462)</f>
        <v/>
      </c>
      <c r="C462" s="28" t="str">
        <f>IF('Data Sheet'!C462="","",'Data Sheet'!C462)</f>
        <v/>
      </c>
      <c r="D462" s="28" t="str">
        <f>IF('Data Sheet'!D462="","",'Data Sheet'!D462)</f>
        <v/>
      </c>
      <c r="E462" s="29" t="str">
        <f t="shared" si="90"/>
        <v/>
      </c>
      <c r="F462" s="51">
        <v>0</v>
      </c>
      <c r="G462" s="49">
        <f t="shared" si="94"/>
        <v>0</v>
      </c>
      <c r="H462" s="49">
        <f t="shared" si="95"/>
        <v>0</v>
      </c>
      <c r="I462" s="49">
        <f t="shared" si="96"/>
        <v>0</v>
      </c>
      <c r="J462" s="49">
        <f t="shared" si="97"/>
        <v>0</v>
      </c>
      <c r="K462" s="49">
        <f t="shared" si="98"/>
        <v>0</v>
      </c>
      <c r="L462" s="49">
        <f t="shared" si="99"/>
        <v>0</v>
      </c>
      <c r="M462" s="49">
        <f t="shared" si="100"/>
        <v>0</v>
      </c>
      <c r="N462" s="29" t="str">
        <f t="shared" si="91"/>
        <v/>
      </c>
      <c r="O462" s="29">
        <f t="shared" si="92"/>
        <v>0</v>
      </c>
      <c r="P462" s="29">
        <f t="shared" si="93"/>
        <v>0</v>
      </c>
      <c r="Q462" s="29">
        <f>IF(A462&lt;&gt;"",SUM(F$2:F462),Q461)</f>
        <v>8</v>
      </c>
      <c r="R462" s="30">
        <f t="shared" si="101"/>
        <v>0</v>
      </c>
    </row>
    <row r="463" spans="1:18" x14ac:dyDescent="0.25">
      <c r="A463" s="27" t="str">
        <f>IF('Data Sheet'!A463="","",'Data Sheet'!A463)</f>
        <v/>
      </c>
      <c r="B463" s="28" t="str">
        <f>IF('Data Sheet'!B463="","",'Data Sheet'!B463)</f>
        <v/>
      </c>
      <c r="C463" s="28" t="str">
        <f>IF('Data Sheet'!C463="","",'Data Sheet'!C463)</f>
        <v/>
      </c>
      <c r="D463" s="28" t="str">
        <f>IF('Data Sheet'!D463="","",'Data Sheet'!D463)</f>
        <v/>
      </c>
      <c r="E463" s="29" t="str">
        <f t="shared" si="90"/>
        <v/>
      </c>
      <c r="F463" s="51">
        <v>0</v>
      </c>
      <c r="G463" s="49">
        <f t="shared" si="94"/>
        <v>0</v>
      </c>
      <c r="H463" s="49">
        <f t="shared" si="95"/>
        <v>0</v>
      </c>
      <c r="I463" s="49">
        <f t="shared" si="96"/>
        <v>0</v>
      </c>
      <c r="J463" s="49">
        <f t="shared" si="97"/>
        <v>0</v>
      </c>
      <c r="K463" s="49">
        <f t="shared" si="98"/>
        <v>0</v>
      </c>
      <c r="L463" s="49">
        <f t="shared" si="99"/>
        <v>0</v>
      </c>
      <c r="M463" s="49">
        <f t="shared" si="100"/>
        <v>0</v>
      </c>
      <c r="N463" s="29" t="str">
        <f t="shared" si="91"/>
        <v/>
      </c>
      <c r="O463" s="29">
        <f t="shared" si="92"/>
        <v>0</v>
      </c>
      <c r="P463" s="29">
        <f t="shared" si="93"/>
        <v>0</v>
      </c>
      <c r="Q463" s="29">
        <f>IF(A463&lt;&gt;"",SUM(F$2:F463),Q462)</f>
        <v>8</v>
      </c>
      <c r="R463" s="30">
        <f t="shared" si="101"/>
        <v>0</v>
      </c>
    </row>
    <row r="464" spans="1:18" x14ac:dyDescent="0.25">
      <c r="A464" s="27" t="str">
        <f>IF('Data Sheet'!A464="","",'Data Sheet'!A464)</f>
        <v/>
      </c>
      <c r="B464" s="28" t="str">
        <f>IF('Data Sheet'!B464="","",'Data Sheet'!B464)</f>
        <v/>
      </c>
      <c r="C464" s="28" t="str">
        <f>IF('Data Sheet'!C464="","",'Data Sheet'!C464)</f>
        <v/>
      </c>
      <c r="D464" s="28" t="str">
        <f>IF('Data Sheet'!D464="","",'Data Sheet'!D464)</f>
        <v/>
      </c>
      <c r="E464" s="29" t="str">
        <f t="shared" si="90"/>
        <v/>
      </c>
      <c r="F464" s="51">
        <v>0</v>
      </c>
      <c r="G464" s="49">
        <f t="shared" si="94"/>
        <v>0</v>
      </c>
      <c r="H464" s="49">
        <f t="shared" si="95"/>
        <v>0</v>
      </c>
      <c r="I464" s="49">
        <f t="shared" si="96"/>
        <v>0</v>
      </c>
      <c r="J464" s="49">
        <f t="shared" si="97"/>
        <v>0</v>
      </c>
      <c r="K464" s="49">
        <f t="shared" si="98"/>
        <v>0</v>
      </c>
      <c r="L464" s="49">
        <f t="shared" si="99"/>
        <v>0</v>
      </c>
      <c r="M464" s="49">
        <f t="shared" si="100"/>
        <v>0</v>
      </c>
      <c r="N464" s="29" t="str">
        <f t="shared" si="91"/>
        <v/>
      </c>
      <c r="O464" s="29">
        <f t="shared" si="92"/>
        <v>0</v>
      </c>
      <c r="P464" s="29">
        <f t="shared" si="93"/>
        <v>0</v>
      </c>
      <c r="Q464" s="29">
        <f>IF(A464&lt;&gt;"",SUM(F$2:F464),Q463)</f>
        <v>8</v>
      </c>
      <c r="R464" s="30">
        <f t="shared" si="101"/>
        <v>0</v>
      </c>
    </row>
    <row r="465" spans="1:18" x14ac:dyDescent="0.25">
      <c r="A465" s="27" t="str">
        <f>IF('Data Sheet'!A465="","",'Data Sheet'!A465)</f>
        <v/>
      </c>
      <c r="B465" s="28" t="str">
        <f>IF('Data Sheet'!B465="","",'Data Sheet'!B465)</f>
        <v/>
      </c>
      <c r="C465" s="28" t="str">
        <f>IF('Data Sheet'!C465="","",'Data Sheet'!C465)</f>
        <v/>
      </c>
      <c r="D465" s="28" t="str">
        <f>IF('Data Sheet'!D465="","",'Data Sheet'!D465)</f>
        <v/>
      </c>
      <c r="E465" s="29" t="str">
        <f t="shared" si="90"/>
        <v/>
      </c>
      <c r="F465" s="51">
        <v>0</v>
      </c>
      <c r="G465" s="49">
        <f t="shared" si="94"/>
        <v>0</v>
      </c>
      <c r="H465" s="49">
        <f t="shared" si="95"/>
        <v>0</v>
      </c>
      <c r="I465" s="49">
        <f t="shared" si="96"/>
        <v>0</v>
      </c>
      <c r="J465" s="49">
        <f t="shared" si="97"/>
        <v>0</v>
      </c>
      <c r="K465" s="49">
        <f t="shared" si="98"/>
        <v>0</v>
      </c>
      <c r="L465" s="49">
        <f t="shared" si="99"/>
        <v>0</v>
      </c>
      <c r="M465" s="49">
        <f t="shared" si="100"/>
        <v>0</v>
      </c>
      <c r="N465" s="29" t="str">
        <f t="shared" si="91"/>
        <v/>
      </c>
      <c r="O465" s="29">
        <f t="shared" si="92"/>
        <v>0</v>
      </c>
      <c r="P465" s="29">
        <f t="shared" si="93"/>
        <v>0</v>
      </c>
      <c r="Q465" s="29">
        <f>IF(A465&lt;&gt;"",SUM(F$2:F465),Q464)</f>
        <v>8</v>
      </c>
      <c r="R465" s="30">
        <f t="shared" si="101"/>
        <v>0</v>
      </c>
    </row>
    <row r="466" spans="1:18" x14ac:dyDescent="0.25">
      <c r="A466" s="27" t="str">
        <f>IF('Data Sheet'!A466="","",'Data Sheet'!A466)</f>
        <v/>
      </c>
      <c r="B466" s="28" t="str">
        <f>IF('Data Sheet'!B466="","",'Data Sheet'!B466)</f>
        <v/>
      </c>
      <c r="C466" s="28" t="str">
        <f>IF('Data Sheet'!C466="","",'Data Sheet'!C466)</f>
        <v/>
      </c>
      <c r="D466" s="28" t="str">
        <f>IF('Data Sheet'!D466="","",'Data Sheet'!D466)</f>
        <v/>
      </c>
      <c r="E466" s="29" t="str">
        <f t="shared" si="90"/>
        <v/>
      </c>
      <c r="F466" s="51">
        <v>0</v>
      </c>
      <c r="G466" s="49">
        <f t="shared" si="94"/>
        <v>0</v>
      </c>
      <c r="H466" s="49">
        <f t="shared" si="95"/>
        <v>0</v>
      </c>
      <c r="I466" s="49">
        <f t="shared" si="96"/>
        <v>0</v>
      </c>
      <c r="J466" s="49">
        <f t="shared" si="97"/>
        <v>0</v>
      </c>
      <c r="K466" s="49">
        <f t="shared" si="98"/>
        <v>0</v>
      </c>
      <c r="L466" s="49">
        <f t="shared" si="99"/>
        <v>0</v>
      </c>
      <c r="M466" s="49">
        <f t="shared" si="100"/>
        <v>0</v>
      </c>
      <c r="N466" s="29" t="str">
        <f t="shared" si="91"/>
        <v/>
      </c>
      <c r="O466" s="29">
        <f t="shared" si="92"/>
        <v>0</v>
      </c>
      <c r="P466" s="29">
        <f t="shared" si="93"/>
        <v>0</v>
      </c>
      <c r="Q466" s="29">
        <f>IF(A466&lt;&gt;"",SUM(F$2:F466),Q465)</f>
        <v>8</v>
      </c>
      <c r="R466" s="30">
        <f t="shared" si="101"/>
        <v>0</v>
      </c>
    </row>
    <row r="467" spans="1:18" x14ac:dyDescent="0.25">
      <c r="A467" s="27" t="str">
        <f>IF('Data Sheet'!A467="","",'Data Sheet'!A467)</f>
        <v/>
      </c>
      <c r="B467" s="28" t="str">
        <f>IF('Data Sheet'!B467="","",'Data Sheet'!B467)</f>
        <v/>
      </c>
      <c r="C467" s="28" t="str">
        <f>IF('Data Sheet'!C467="","",'Data Sheet'!C467)</f>
        <v/>
      </c>
      <c r="D467" s="28" t="str">
        <f>IF('Data Sheet'!D467="","",'Data Sheet'!D467)</f>
        <v/>
      </c>
      <c r="E467" s="29" t="str">
        <f t="shared" si="90"/>
        <v/>
      </c>
      <c r="F467" s="51">
        <v>0</v>
      </c>
      <c r="G467" s="49">
        <f t="shared" si="94"/>
        <v>0</v>
      </c>
      <c r="H467" s="49">
        <f t="shared" si="95"/>
        <v>0</v>
      </c>
      <c r="I467" s="49">
        <f t="shared" si="96"/>
        <v>0</v>
      </c>
      <c r="J467" s="49">
        <f t="shared" si="97"/>
        <v>0</v>
      </c>
      <c r="K467" s="49">
        <f t="shared" si="98"/>
        <v>0</v>
      </c>
      <c r="L467" s="49">
        <f t="shared" si="99"/>
        <v>0</v>
      </c>
      <c r="M467" s="49">
        <f t="shared" si="100"/>
        <v>0</v>
      </c>
      <c r="N467" s="29" t="str">
        <f t="shared" si="91"/>
        <v/>
      </c>
      <c r="O467" s="29">
        <f t="shared" si="92"/>
        <v>0</v>
      </c>
      <c r="P467" s="29">
        <f t="shared" si="93"/>
        <v>0</v>
      </c>
      <c r="Q467" s="29">
        <f>IF(A467&lt;&gt;"",SUM(F$2:F467),Q466)</f>
        <v>8</v>
      </c>
      <c r="R467" s="30">
        <f t="shared" si="101"/>
        <v>0</v>
      </c>
    </row>
    <row r="468" spans="1:18" x14ac:dyDescent="0.25">
      <c r="A468" s="27" t="str">
        <f>IF('Data Sheet'!A468="","",'Data Sheet'!A468)</f>
        <v/>
      </c>
      <c r="B468" s="28" t="str">
        <f>IF('Data Sheet'!B468="","",'Data Sheet'!B468)</f>
        <v/>
      </c>
      <c r="C468" s="28" t="str">
        <f>IF('Data Sheet'!C468="","",'Data Sheet'!C468)</f>
        <v/>
      </c>
      <c r="D468" s="28" t="str">
        <f>IF('Data Sheet'!D468="","",'Data Sheet'!D468)</f>
        <v/>
      </c>
      <c r="E468" s="29" t="str">
        <f t="shared" si="90"/>
        <v/>
      </c>
      <c r="F468" s="51">
        <v>0</v>
      </c>
      <c r="G468" s="49">
        <f t="shared" si="94"/>
        <v>0</v>
      </c>
      <c r="H468" s="49">
        <f t="shared" si="95"/>
        <v>0</v>
      </c>
      <c r="I468" s="49">
        <f t="shared" si="96"/>
        <v>0</v>
      </c>
      <c r="J468" s="49">
        <f t="shared" si="97"/>
        <v>0</v>
      </c>
      <c r="K468" s="49">
        <f t="shared" si="98"/>
        <v>0</v>
      </c>
      <c r="L468" s="49">
        <f t="shared" si="99"/>
        <v>0</v>
      </c>
      <c r="M468" s="49">
        <f t="shared" si="100"/>
        <v>0</v>
      </c>
      <c r="N468" s="29" t="str">
        <f t="shared" si="91"/>
        <v/>
      </c>
      <c r="O468" s="29">
        <f t="shared" si="92"/>
        <v>0</v>
      </c>
      <c r="P468" s="29">
        <f t="shared" si="93"/>
        <v>0</v>
      </c>
      <c r="Q468" s="29">
        <f>IF(A468&lt;&gt;"",SUM(F$2:F468),Q467)</f>
        <v>8</v>
      </c>
      <c r="R468" s="30">
        <f t="shared" si="101"/>
        <v>0</v>
      </c>
    </row>
    <row r="469" spans="1:18" x14ac:dyDescent="0.25">
      <c r="A469" s="27" t="str">
        <f>IF('Data Sheet'!A469="","",'Data Sheet'!A469)</f>
        <v/>
      </c>
      <c r="B469" s="28" t="str">
        <f>IF('Data Sheet'!B469="","",'Data Sheet'!B469)</f>
        <v/>
      </c>
      <c r="C469" s="28" t="str">
        <f>IF('Data Sheet'!C469="","",'Data Sheet'!C469)</f>
        <v/>
      </c>
      <c r="D469" s="28" t="str">
        <f>IF('Data Sheet'!D469="","",'Data Sheet'!D469)</f>
        <v/>
      </c>
      <c r="E469" s="29" t="str">
        <f t="shared" si="90"/>
        <v/>
      </c>
      <c r="F469" s="51">
        <v>0</v>
      </c>
      <c r="G469" s="49">
        <f t="shared" si="94"/>
        <v>0</v>
      </c>
      <c r="H469" s="49">
        <f t="shared" si="95"/>
        <v>0</v>
      </c>
      <c r="I469" s="49">
        <f t="shared" si="96"/>
        <v>0</v>
      </c>
      <c r="J469" s="49">
        <f t="shared" si="97"/>
        <v>0</v>
      </c>
      <c r="K469" s="49">
        <f t="shared" si="98"/>
        <v>0</v>
      </c>
      <c r="L469" s="49">
        <f t="shared" si="99"/>
        <v>0</v>
      </c>
      <c r="M469" s="49">
        <f t="shared" si="100"/>
        <v>0</v>
      </c>
      <c r="N469" s="29" t="str">
        <f t="shared" si="91"/>
        <v/>
      </c>
      <c r="O469" s="29">
        <f t="shared" si="92"/>
        <v>0</v>
      </c>
      <c r="P469" s="29">
        <f t="shared" si="93"/>
        <v>0</v>
      </c>
      <c r="Q469" s="29">
        <f>IF(A469&lt;&gt;"",SUM(F$2:F469),Q468)</f>
        <v>8</v>
      </c>
      <c r="R469" s="30">
        <f t="shared" si="101"/>
        <v>0</v>
      </c>
    </row>
    <row r="470" spans="1:18" x14ac:dyDescent="0.25">
      <c r="A470" s="27" t="str">
        <f>IF('Data Sheet'!A470="","",'Data Sheet'!A470)</f>
        <v/>
      </c>
      <c r="B470" s="28" t="str">
        <f>IF('Data Sheet'!B470="","",'Data Sheet'!B470)</f>
        <v/>
      </c>
      <c r="C470" s="28" t="str">
        <f>IF('Data Sheet'!C470="","",'Data Sheet'!C470)</f>
        <v/>
      </c>
      <c r="D470" s="28" t="str">
        <f>IF('Data Sheet'!D470="","",'Data Sheet'!D470)</f>
        <v/>
      </c>
      <c r="E470" s="29" t="str">
        <f t="shared" si="90"/>
        <v/>
      </c>
      <c r="F470" s="51">
        <v>0</v>
      </c>
      <c r="G470" s="49">
        <f t="shared" si="94"/>
        <v>0</v>
      </c>
      <c r="H470" s="49">
        <f t="shared" si="95"/>
        <v>0</v>
      </c>
      <c r="I470" s="49">
        <f t="shared" si="96"/>
        <v>0</v>
      </c>
      <c r="J470" s="49">
        <f t="shared" si="97"/>
        <v>0</v>
      </c>
      <c r="K470" s="49">
        <f t="shared" si="98"/>
        <v>0</v>
      </c>
      <c r="L470" s="49">
        <f t="shared" si="99"/>
        <v>0</v>
      </c>
      <c r="M470" s="49">
        <f t="shared" si="100"/>
        <v>0</v>
      </c>
      <c r="N470" s="29" t="str">
        <f t="shared" si="91"/>
        <v/>
      </c>
      <c r="O470" s="29">
        <f t="shared" si="92"/>
        <v>0</v>
      </c>
      <c r="P470" s="29">
        <f t="shared" si="93"/>
        <v>0</v>
      </c>
      <c r="Q470" s="29">
        <f>IF(A470&lt;&gt;"",SUM(F$2:F470),Q469)</f>
        <v>8</v>
      </c>
      <c r="R470" s="30">
        <f t="shared" si="101"/>
        <v>0</v>
      </c>
    </row>
    <row r="471" spans="1:18" x14ac:dyDescent="0.25">
      <c r="A471" s="27" t="str">
        <f>IF('Data Sheet'!A471="","",'Data Sheet'!A471)</f>
        <v/>
      </c>
      <c r="B471" s="28" t="str">
        <f>IF('Data Sheet'!B471="","",'Data Sheet'!B471)</f>
        <v/>
      </c>
      <c r="C471" s="28" t="str">
        <f>IF('Data Sheet'!C471="","",'Data Sheet'!C471)</f>
        <v/>
      </c>
      <c r="D471" s="28" t="str">
        <f>IF('Data Sheet'!D471="","",'Data Sheet'!D471)</f>
        <v/>
      </c>
      <c r="E471" s="29" t="str">
        <f t="shared" si="90"/>
        <v/>
      </c>
      <c r="F471" s="51">
        <v>0</v>
      </c>
      <c r="G471" s="49">
        <f t="shared" si="94"/>
        <v>0</v>
      </c>
      <c r="H471" s="49">
        <f t="shared" si="95"/>
        <v>0</v>
      </c>
      <c r="I471" s="49">
        <f t="shared" si="96"/>
        <v>0</v>
      </c>
      <c r="J471" s="49">
        <f t="shared" si="97"/>
        <v>0</v>
      </c>
      <c r="K471" s="49">
        <f t="shared" si="98"/>
        <v>0</v>
      </c>
      <c r="L471" s="49">
        <f t="shared" si="99"/>
        <v>0</v>
      </c>
      <c r="M471" s="49">
        <f t="shared" si="100"/>
        <v>0</v>
      </c>
      <c r="N471" s="29" t="str">
        <f t="shared" si="91"/>
        <v/>
      </c>
      <c r="O471" s="29">
        <f t="shared" si="92"/>
        <v>0</v>
      </c>
      <c r="P471" s="29">
        <f t="shared" si="93"/>
        <v>0</v>
      </c>
      <c r="Q471" s="29">
        <f>IF(A471&lt;&gt;"",SUM(F$2:F471),Q470)</f>
        <v>8</v>
      </c>
      <c r="R471" s="30">
        <f t="shared" si="101"/>
        <v>0</v>
      </c>
    </row>
    <row r="472" spans="1:18" x14ac:dyDescent="0.25">
      <c r="A472" s="27" t="str">
        <f>IF('Data Sheet'!A472="","",'Data Sheet'!A472)</f>
        <v/>
      </c>
      <c r="B472" s="28" t="str">
        <f>IF('Data Sheet'!B472="","",'Data Sheet'!B472)</f>
        <v/>
      </c>
      <c r="C472" s="28" t="str">
        <f>IF('Data Sheet'!C472="","",'Data Sheet'!C472)</f>
        <v/>
      </c>
      <c r="D472" s="28" t="str">
        <f>IF('Data Sheet'!D472="","",'Data Sheet'!D472)</f>
        <v/>
      </c>
      <c r="E472" s="29" t="str">
        <f t="shared" si="90"/>
        <v/>
      </c>
      <c r="F472" s="51">
        <v>0</v>
      </c>
      <c r="G472" s="49">
        <f t="shared" si="94"/>
        <v>0</v>
      </c>
      <c r="H472" s="49">
        <f t="shared" si="95"/>
        <v>0</v>
      </c>
      <c r="I472" s="49">
        <f t="shared" si="96"/>
        <v>0</v>
      </c>
      <c r="J472" s="49">
        <f t="shared" si="97"/>
        <v>0</v>
      </c>
      <c r="K472" s="49">
        <f t="shared" si="98"/>
        <v>0</v>
      </c>
      <c r="L472" s="49">
        <f t="shared" si="99"/>
        <v>0</v>
      </c>
      <c r="M472" s="49">
        <f t="shared" si="100"/>
        <v>0</v>
      </c>
      <c r="N472" s="29" t="str">
        <f t="shared" si="91"/>
        <v/>
      </c>
      <c r="O472" s="29">
        <f t="shared" si="92"/>
        <v>0</v>
      </c>
      <c r="P472" s="29">
        <f t="shared" si="93"/>
        <v>0</v>
      </c>
      <c r="Q472" s="29">
        <f>IF(A472&lt;&gt;"",SUM(F$2:F472),Q471)</f>
        <v>8</v>
      </c>
      <c r="R472" s="30">
        <f t="shared" si="101"/>
        <v>0</v>
      </c>
    </row>
    <row r="473" spans="1:18" x14ac:dyDescent="0.25">
      <c r="A473" s="27" t="str">
        <f>IF('Data Sheet'!A473="","",'Data Sheet'!A473)</f>
        <v/>
      </c>
      <c r="B473" s="28" t="str">
        <f>IF('Data Sheet'!B473="","",'Data Sheet'!B473)</f>
        <v/>
      </c>
      <c r="C473" s="28" t="str">
        <f>IF('Data Sheet'!C473="","",'Data Sheet'!C473)</f>
        <v/>
      </c>
      <c r="D473" s="28" t="str">
        <f>IF('Data Sheet'!D473="","",'Data Sheet'!D473)</f>
        <v/>
      </c>
      <c r="E473" s="29" t="str">
        <f t="shared" si="90"/>
        <v/>
      </c>
      <c r="F473" s="51">
        <v>0</v>
      </c>
      <c r="G473" s="49">
        <f t="shared" si="94"/>
        <v>0</v>
      </c>
      <c r="H473" s="49">
        <f t="shared" si="95"/>
        <v>0</v>
      </c>
      <c r="I473" s="49">
        <f t="shared" si="96"/>
        <v>0</v>
      </c>
      <c r="J473" s="49">
        <f t="shared" si="97"/>
        <v>0</v>
      </c>
      <c r="K473" s="49">
        <f t="shared" si="98"/>
        <v>0</v>
      </c>
      <c r="L473" s="49">
        <f t="shared" si="99"/>
        <v>0</v>
      </c>
      <c r="M473" s="49">
        <f t="shared" si="100"/>
        <v>0</v>
      </c>
      <c r="N473" s="29" t="str">
        <f t="shared" si="91"/>
        <v/>
      </c>
      <c r="O473" s="29">
        <f t="shared" si="92"/>
        <v>0</v>
      </c>
      <c r="P473" s="29">
        <f t="shared" si="93"/>
        <v>0</v>
      </c>
      <c r="Q473" s="29">
        <f>IF(A473&lt;&gt;"",SUM(F$2:F473),Q472)</f>
        <v>8</v>
      </c>
      <c r="R473" s="30">
        <f t="shared" si="101"/>
        <v>0</v>
      </c>
    </row>
    <row r="474" spans="1:18" x14ac:dyDescent="0.25">
      <c r="A474" s="27" t="str">
        <f>IF('Data Sheet'!A474="","",'Data Sheet'!A474)</f>
        <v/>
      </c>
      <c r="B474" s="28" t="str">
        <f>IF('Data Sheet'!B474="","",'Data Sheet'!B474)</f>
        <v/>
      </c>
      <c r="C474" s="28" t="str">
        <f>IF('Data Sheet'!C474="","",'Data Sheet'!C474)</f>
        <v/>
      </c>
      <c r="D474" s="28" t="str">
        <f>IF('Data Sheet'!D474="","",'Data Sheet'!D474)</f>
        <v/>
      </c>
      <c r="E474" s="29" t="str">
        <f t="shared" si="90"/>
        <v/>
      </c>
      <c r="F474" s="51">
        <v>0</v>
      </c>
      <c r="G474" s="49">
        <f t="shared" si="94"/>
        <v>0</v>
      </c>
      <c r="H474" s="49">
        <f t="shared" si="95"/>
        <v>0</v>
      </c>
      <c r="I474" s="49">
        <f t="shared" si="96"/>
        <v>0</v>
      </c>
      <c r="J474" s="49">
        <f t="shared" si="97"/>
        <v>0</v>
      </c>
      <c r="K474" s="49">
        <f t="shared" si="98"/>
        <v>0</v>
      </c>
      <c r="L474" s="49">
        <f t="shared" si="99"/>
        <v>0</v>
      </c>
      <c r="M474" s="49">
        <f t="shared" si="100"/>
        <v>0</v>
      </c>
      <c r="N474" s="29" t="str">
        <f t="shared" si="91"/>
        <v/>
      </c>
      <c r="O474" s="29">
        <f t="shared" si="92"/>
        <v>0</v>
      </c>
      <c r="P474" s="29">
        <f t="shared" si="93"/>
        <v>0</v>
      </c>
      <c r="Q474" s="29">
        <f>IF(A474&lt;&gt;"",SUM(F$2:F474),Q473)</f>
        <v>8</v>
      </c>
      <c r="R474" s="30">
        <f t="shared" si="101"/>
        <v>0</v>
      </c>
    </row>
    <row r="475" spans="1:18" x14ac:dyDescent="0.25">
      <c r="A475" s="27" t="str">
        <f>IF('Data Sheet'!A475="","",'Data Sheet'!A475)</f>
        <v/>
      </c>
      <c r="B475" s="28" t="str">
        <f>IF('Data Sheet'!B475="","",'Data Sheet'!B475)</f>
        <v/>
      </c>
      <c r="C475" s="28" t="str">
        <f>IF('Data Sheet'!C475="","",'Data Sheet'!C475)</f>
        <v/>
      </c>
      <c r="D475" s="28" t="str">
        <f>IF('Data Sheet'!D475="","",'Data Sheet'!D475)</f>
        <v/>
      </c>
      <c r="E475" s="29" t="str">
        <f t="shared" si="90"/>
        <v/>
      </c>
      <c r="F475" s="51">
        <v>0</v>
      </c>
      <c r="G475" s="49">
        <f t="shared" si="94"/>
        <v>0</v>
      </c>
      <c r="H475" s="49">
        <f t="shared" si="95"/>
        <v>0</v>
      </c>
      <c r="I475" s="49">
        <f t="shared" si="96"/>
        <v>0</v>
      </c>
      <c r="J475" s="49">
        <f t="shared" si="97"/>
        <v>0</v>
      </c>
      <c r="K475" s="49">
        <f t="shared" si="98"/>
        <v>0</v>
      </c>
      <c r="L475" s="49">
        <f t="shared" si="99"/>
        <v>0</v>
      </c>
      <c r="M475" s="49">
        <f t="shared" si="100"/>
        <v>0</v>
      </c>
      <c r="N475" s="29" t="str">
        <f t="shared" si="91"/>
        <v/>
      </c>
      <c r="O475" s="29">
        <f t="shared" si="92"/>
        <v>0</v>
      </c>
      <c r="P475" s="29">
        <f t="shared" si="93"/>
        <v>0</v>
      </c>
      <c r="Q475" s="29">
        <f>IF(A475&lt;&gt;"",SUM(F$2:F475),Q474)</f>
        <v>8</v>
      </c>
      <c r="R475" s="30">
        <f t="shared" si="101"/>
        <v>0</v>
      </c>
    </row>
    <row r="476" spans="1:18" x14ac:dyDescent="0.25">
      <c r="A476" s="27" t="str">
        <f>IF('Data Sheet'!A476="","",'Data Sheet'!A476)</f>
        <v/>
      </c>
      <c r="B476" s="28" t="str">
        <f>IF('Data Sheet'!B476="","",'Data Sheet'!B476)</f>
        <v/>
      </c>
      <c r="C476" s="28" t="str">
        <f>IF('Data Sheet'!C476="","",'Data Sheet'!C476)</f>
        <v/>
      </c>
      <c r="D476" s="28" t="str">
        <f>IF('Data Sheet'!D476="","",'Data Sheet'!D476)</f>
        <v/>
      </c>
      <c r="E476" s="29" t="str">
        <f t="shared" si="90"/>
        <v/>
      </c>
      <c r="F476" s="51">
        <v>0</v>
      </c>
      <c r="G476" s="49">
        <f t="shared" si="94"/>
        <v>0</v>
      </c>
      <c r="H476" s="49">
        <f t="shared" si="95"/>
        <v>0</v>
      </c>
      <c r="I476" s="49">
        <f t="shared" si="96"/>
        <v>0</v>
      </c>
      <c r="J476" s="49">
        <f t="shared" si="97"/>
        <v>0</v>
      </c>
      <c r="K476" s="49">
        <f t="shared" si="98"/>
        <v>0</v>
      </c>
      <c r="L476" s="49">
        <f t="shared" si="99"/>
        <v>0</v>
      </c>
      <c r="M476" s="49">
        <f t="shared" si="100"/>
        <v>0</v>
      </c>
      <c r="N476" s="29" t="str">
        <f t="shared" si="91"/>
        <v/>
      </c>
      <c r="O476" s="29">
        <f t="shared" si="92"/>
        <v>0</v>
      </c>
      <c r="P476" s="29">
        <f t="shared" si="93"/>
        <v>0</v>
      </c>
      <c r="Q476" s="29">
        <f>IF(A476&lt;&gt;"",SUM(F$2:F476),Q475)</f>
        <v>8</v>
      </c>
      <c r="R476" s="30">
        <f t="shared" si="101"/>
        <v>0</v>
      </c>
    </row>
    <row r="477" spans="1:18" x14ac:dyDescent="0.25">
      <c r="A477" s="27" t="str">
        <f>IF('Data Sheet'!A477="","",'Data Sheet'!A477)</f>
        <v/>
      </c>
      <c r="B477" s="28" t="str">
        <f>IF('Data Sheet'!B477="","",'Data Sheet'!B477)</f>
        <v/>
      </c>
      <c r="C477" s="28" t="str">
        <f>IF('Data Sheet'!C477="","",'Data Sheet'!C477)</f>
        <v/>
      </c>
      <c r="D477" s="28" t="str">
        <f>IF('Data Sheet'!D477="","",'Data Sheet'!D477)</f>
        <v/>
      </c>
      <c r="E477" s="29" t="str">
        <f t="shared" si="90"/>
        <v/>
      </c>
      <c r="F477" s="51">
        <v>0</v>
      </c>
      <c r="G477" s="49">
        <f t="shared" si="94"/>
        <v>0</v>
      </c>
      <c r="H477" s="49">
        <f t="shared" si="95"/>
        <v>0</v>
      </c>
      <c r="I477" s="49">
        <f t="shared" si="96"/>
        <v>0</v>
      </c>
      <c r="J477" s="49">
        <f t="shared" si="97"/>
        <v>0</v>
      </c>
      <c r="K477" s="49">
        <f t="shared" si="98"/>
        <v>0</v>
      </c>
      <c r="L477" s="49">
        <f t="shared" si="99"/>
        <v>0</v>
      </c>
      <c r="M477" s="49">
        <f t="shared" si="100"/>
        <v>0</v>
      </c>
      <c r="N477" s="29" t="str">
        <f t="shared" si="91"/>
        <v/>
      </c>
      <c r="O477" s="29">
        <f t="shared" si="92"/>
        <v>0</v>
      </c>
      <c r="P477" s="29">
        <f t="shared" si="93"/>
        <v>0</v>
      </c>
      <c r="Q477" s="29">
        <f>IF(A477&lt;&gt;"",SUM(F$2:F477),Q476)</f>
        <v>8</v>
      </c>
      <c r="R477" s="30">
        <f t="shared" si="101"/>
        <v>0</v>
      </c>
    </row>
    <row r="478" spans="1:18" x14ac:dyDescent="0.25">
      <c r="A478" s="27" t="str">
        <f>IF('Data Sheet'!A478="","",'Data Sheet'!A478)</f>
        <v/>
      </c>
      <c r="B478" s="28" t="str">
        <f>IF('Data Sheet'!B478="","",'Data Sheet'!B478)</f>
        <v/>
      </c>
      <c r="C478" s="28" t="str">
        <f>IF('Data Sheet'!C478="","",'Data Sheet'!C478)</f>
        <v/>
      </c>
      <c r="D478" s="28" t="str">
        <f>IF('Data Sheet'!D478="","",'Data Sheet'!D478)</f>
        <v/>
      </c>
      <c r="E478" s="29" t="str">
        <f t="shared" si="90"/>
        <v/>
      </c>
      <c r="F478" s="51">
        <v>0</v>
      </c>
      <c r="G478" s="49">
        <f t="shared" si="94"/>
        <v>0</v>
      </c>
      <c r="H478" s="49">
        <f t="shared" si="95"/>
        <v>0</v>
      </c>
      <c r="I478" s="49">
        <f t="shared" si="96"/>
        <v>0</v>
      </c>
      <c r="J478" s="49">
        <f t="shared" si="97"/>
        <v>0</v>
      </c>
      <c r="K478" s="49">
        <f t="shared" si="98"/>
        <v>0</v>
      </c>
      <c r="L478" s="49">
        <f t="shared" si="99"/>
        <v>0</v>
      </c>
      <c r="M478" s="49">
        <f t="shared" si="100"/>
        <v>0</v>
      </c>
      <c r="N478" s="29" t="str">
        <f t="shared" si="91"/>
        <v/>
      </c>
      <c r="O478" s="29">
        <f t="shared" si="92"/>
        <v>0</v>
      </c>
      <c r="P478" s="29">
        <f t="shared" si="93"/>
        <v>0</v>
      </c>
      <c r="Q478" s="29">
        <f>IF(A478&lt;&gt;"",SUM(F$2:F478),Q477)</f>
        <v>8</v>
      </c>
      <c r="R478" s="30">
        <f t="shared" si="101"/>
        <v>0</v>
      </c>
    </row>
    <row r="479" spans="1:18" x14ac:dyDescent="0.25">
      <c r="A479" s="27" t="str">
        <f>IF('Data Sheet'!A479="","",'Data Sheet'!A479)</f>
        <v/>
      </c>
      <c r="B479" s="28" t="str">
        <f>IF('Data Sheet'!B479="","",'Data Sheet'!B479)</f>
        <v/>
      </c>
      <c r="C479" s="28" t="str">
        <f>IF('Data Sheet'!C479="","",'Data Sheet'!C479)</f>
        <v/>
      </c>
      <c r="D479" s="28" t="str">
        <f>IF('Data Sheet'!D479="","",'Data Sheet'!D479)</f>
        <v/>
      </c>
      <c r="E479" s="29" t="str">
        <f t="shared" si="90"/>
        <v/>
      </c>
      <c r="F479" s="51">
        <v>0</v>
      </c>
      <c r="G479" s="49">
        <f t="shared" si="94"/>
        <v>0</v>
      </c>
      <c r="H479" s="49">
        <f t="shared" si="95"/>
        <v>0</v>
      </c>
      <c r="I479" s="49">
        <f t="shared" si="96"/>
        <v>0</v>
      </c>
      <c r="J479" s="49">
        <f t="shared" si="97"/>
        <v>0</v>
      </c>
      <c r="K479" s="49">
        <f t="shared" si="98"/>
        <v>0</v>
      </c>
      <c r="L479" s="49">
        <f t="shared" si="99"/>
        <v>0</v>
      </c>
      <c r="M479" s="49">
        <f t="shared" si="100"/>
        <v>0</v>
      </c>
      <c r="N479" s="29" t="str">
        <f t="shared" si="91"/>
        <v/>
      </c>
      <c r="O479" s="29">
        <f t="shared" si="92"/>
        <v>0</v>
      </c>
      <c r="P479" s="29">
        <f t="shared" si="93"/>
        <v>0</v>
      </c>
      <c r="Q479" s="29">
        <f>IF(A479&lt;&gt;"",SUM(F$2:F479),Q478)</f>
        <v>8</v>
      </c>
      <c r="R479" s="30">
        <f t="shared" si="101"/>
        <v>0</v>
      </c>
    </row>
    <row r="480" spans="1:18" x14ac:dyDescent="0.25">
      <c r="A480" s="27" t="str">
        <f>IF('Data Sheet'!A480="","",'Data Sheet'!A480)</f>
        <v/>
      </c>
      <c r="B480" s="28" t="str">
        <f>IF('Data Sheet'!B480="","",'Data Sheet'!B480)</f>
        <v/>
      </c>
      <c r="C480" s="28" t="str">
        <f>IF('Data Sheet'!C480="","",'Data Sheet'!C480)</f>
        <v/>
      </c>
      <c r="D480" s="28" t="str">
        <f>IF('Data Sheet'!D480="","",'Data Sheet'!D480)</f>
        <v/>
      </c>
      <c r="E480" s="29" t="str">
        <f t="shared" si="90"/>
        <v/>
      </c>
      <c r="F480" s="51">
        <v>0</v>
      </c>
      <c r="G480" s="49">
        <f t="shared" si="94"/>
        <v>0</v>
      </c>
      <c r="H480" s="49">
        <f t="shared" si="95"/>
        <v>0</v>
      </c>
      <c r="I480" s="49">
        <f t="shared" si="96"/>
        <v>0</v>
      </c>
      <c r="J480" s="49">
        <f t="shared" si="97"/>
        <v>0</v>
      </c>
      <c r="K480" s="49">
        <f t="shared" si="98"/>
        <v>0</v>
      </c>
      <c r="L480" s="49">
        <f t="shared" si="99"/>
        <v>0</v>
      </c>
      <c r="M480" s="49">
        <f t="shared" si="100"/>
        <v>0</v>
      </c>
      <c r="N480" s="29" t="str">
        <f t="shared" si="91"/>
        <v/>
      </c>
      <c r="O480" s="29">
        <f t="shared" si="92"/>
        <v>0</v>
      </c>
      <c r="P480" s="29">
        <f t="shared" si="93"/>
        <v>0</v>
      </c>
      <c r="Q480" s="29">
        <f>IF(A480&lt;&gt;"",SUM(F$2:F480),Q479)</f>
        <v>8</v>
      </c>
      <c r="R480" s="30">
        <f t="shared" si="101"/>
        <v>0</v>
      </c>
    </row>
    <row r="481" spans="1:18" x14ac:dyDescent="0.25">
      <c r="A481" s="27" t="str">
        <f>IF('Data Sheet'!A481="","",'Data Sheet'!A481)</f>
        <v/>
      </c>
      <c r="B481" s="28" t="str">
        <f>IF('Data Sheet'!B481="","",'Data Sheet'!B481)</f>
        <v/>
      </c>
      <c r="C481" s="28" t="str">
        <f>IF('Data Sheet'!C481="","",'Data Sheet'!C481)</f>
        <v/>
      </c>
      <c r="D481" s="28" t="str">
        <f>IF('Data Sheet'!D481="","",'Data Sheet'!D481)</f>
        <v/>
      </c>
      <c r="E481" s="29" t="str">
        <f t="shared" si="90"/>
        <v/>
      </c>
      <c r="F481" s="51">
        <v>0</v>
      </c>
      <c r="G481" s="49">
        <f t="shared" si="94"/>
        <v>0</v>
      </c>
      <c r="H481" s="49">
        <f t="shared" si="95"/>
        <v>0</v>
      </c>
      <c r="I481" s="49">
        <f t="shared" si="96"/>
        <v>0</v>
      </c>
      <c r="J481" s="49">
        <f t="shared" si="97"/>
        <v>0</v>
      </c>
      <c r="K481" s="49">
        <f t="shared" si="98"/>
        <v>0</v>
      </c>
      <c r="L481" s="49">
        <f t="shared" si="99"/>
        <v>0</v>
      </c>
      <c r="M481" s="49">
        <f t="shared" si="100"/>
        <v>0</v>
      </c>
      <c r="N481" s="29" t="str">
        <f t="shared" si="91"/>
        <v/>
      </c>
      <c r="O481" s="29">
        <f t="shared" si="92"/>
        <v>0</v>
      </c>
      <c r="P481" s="29">
        <f t="shared" si="93"/>
        <v>0</v>
      </c>
      <c r="Q481" s="29">
        <f>IF(A481&lt;&gt;"",SUM(F$2:F481),Q480)</f>
        <v>8</v>
      </c>
      <c r="R481" s="30">
        <f t="shared" si="101"/>
        <v>0</v>
      </c>
    </row>
    <row r="482" spans="1:18" x14ac:dyDescent="0.25">
      <c r="A482" s="27" t="str">
        <f>IF('Data Sheet'!A482="","",'Data Sheet'!A482)</f>
        <v/>
      </c>
      <c r="B482" s="28" t="str">
        <f>IF('Data Sheet'!B482="","",'Data Sheet'!B482)</f>
        <v/>
      </c>
      <c r="C482" s="28" t="str">
        <f>IF('Data Sheet'!C482="","",'Data Sheet'!C482)</f>
        <v/>
      </c>
      <c r="D482" s="28" t="str">
        <f>IF('Data Sheet'!D482="","",'Data Sheet'!D482)</f>
        <v/>
      </c>
      <c r="E482" s="29" t="str">
        <f t="shared" si="90"/>
        <v/>
      </c>
      <c r="F482" s="51">
        <v>0</v>
      </c>
      <c r="G482" s="49">
        <f t="shared" si="94"/>
        <v>0</v>
      </c>
      <c r="H482" s="49">
        <f t="shared" si="95"/>
        <v>0</v>
      </c>
      <c r="I482" s="49">
        <f t="shared" si="96"/>
        <v>0</v>
      </c>
      <c r="J482" s="49">
        <f t="shared" si="97"/>
        <v>0</v>
      </c>
      <c r="K482" s="49">
        <f t="shared" si="98"/>
        <v>0</v>
      </c>
      <c r="L482" s="49">
        <f t="shared" si="99"/>
        <v>0</v>
      </c>
      <c r="M482" s="49">
        <f t="shared" si="100"/>
        <v>0</v>
      </c>
      <c r="N482" s="29" t="str">
        <f t="shared" si="91"/>
        <v/>
      </c>
      <c r="O482" s="29">
        <f t="shared" si="92"/>
        <v>0</v>
      </c>
      <c r="P482" s="29">
        <f t="shared" si="93"/>
        <v>0</v>
      </c>
      <c r="Q482" s="29">
        <f>IF(A482&lt;&gt;"",SUM(F$2:F482),Q481)</f>
        <v>8</v>
      </c>
      <c r="R482" s="30">
        <f t="shared" si="101"/>
        <v>0</v>
      </c>
    </row>
    <row r="483" spans="1:18" x14ac:dyDescent="0.25">
      <c r="A483" s="27" t="str">
        <f>IF('Data Sheet'!A483="","",'Data Sheet'!A483)</f>
        <v/>
      </c>
      <c r="B483" s="28" t="str">
        <f>IF('Data Sheet'!B483="","",'Data Sheet'!B483)</f>
        <v/>
      </c>
      <c r="C483" s="28" t="str">
        <f>IF('Data Sheet'!C483="","",'Data Sheet'!C483)</f>
        <v/>
      </c>
      <c r="D483" s="28" t="str">
        <f>IF('Data Sheet'!D483="","",'Data Sheet'!D483)</f>
        <v/>
      </c>
      <c r="E483" s="29" t="str">
        <f t="shared" si="90"/>
        <v/>
      </c>
      <c r="F483" s="51">
        <v>0</v>
      </c>
      <c r="G483" s="49">
        <f t="shared" si="94"/>
        <v>0</v>
      </c>
      <c r="H483" s="49">
        <f t="shared" si="95"/>
        <v>0</v>
      </c>
      <c r="I483" s="49">
        <f t="shared" si="96"/>
        <v>0</v>
      </c>
      <c r="J483" s="49">
        <f t="shared" si="97"/>
        <v>0</v>
      </c>
      <c r="K483" s="49">
        <f t="shared" si="98"/>
        <v>0</v>
      </c>
      <c r="L483" s="49">
        <f t="shared" si="99"/>
        <v>0</v>
      </c>
      <c r="M483" s="49">
        <f t="shared" si="100"/>
        <v>0</v>
      </c>
      <c r="N483" s="29" t="str">
        <f t="shared" si="91"/>
        <v/>
      </c>
      <c r="O483" s="29">
        <f t="shared" si="92"/>
        <v>0</v>
      </c>
      <c r="P483" s="29">
        <f t="shared" si="93"/>
        <v>0</v>
      </c>
      <c r="Q483" s="29">
        <f>IF(A483&lt;&gt;"",SUM(F$2:F483),Q482)</f>
        <v>8</v>
      </c>
      <c r="R483" s="30">
        <f t="shared" si="101"/>
        <v>0</v>
      </c>
    </row>
    <row r="484" spans="1:18" x14ac:dyDescent="0.25">
      <c r="A484" s="27" t="str">
        <f>IF('Data Sheet'!A484="","",'Data Sheet'!A484)</f>
        <v/>
      </c>
      <c r="B484" s="28" t="str">
        <f>IF('Data Sheet'!B484="","",'Data Sheet'!B484)</f>
        <v/>
      </c>
      <c r="C484" s="28" t="str">
        <f>IF('Data Sheet'!C484="","",'Data Sheet'!C484)</f>
        <v/>
      </c>
      <c r="D484" s="28" t="str">
        <f>IF('Data Sheet'!D484="","",'Data Sheet'!D484)</f>
        <v/>
      </c>
      <c r="E484" s="29" t="str">
        <f t="shared" si="90"/>
        <v/>
      </c>
      <c r="F484" s="51">
        <v>0</v>
      </c>
      <c r="G484" s="49">
        <f t="shared" si="94"/>
        <v>0</v>
      </c>
      <c r="H484" s="49">
        <f t="shared" si="95"/>
        <v>0</v>
      </c>
      <c r="I484" s="49">
        <f t="shared" si="96"/>
        <v>0</v>
      </c>
      <c r="J484" s="49">
        <f t="shared" si="97"/>
        <v>0</v>
      </c>
      <c r="K484" s="49">
        <f t="shared" si="98"/>
        <v>0</v>
      </c>
      <c r="L484" s="49">
        <f t="shared" si="99"/>
        <v>0</v>
      </c>
      <c r="M484" s="49">
        <f t="shared" si="100"/>
        <v>0</v>
      </c>
      <c r="N484" s="29" t="str">
        <f t="shared" si="91"/>
        <v/>
      </c>
      <c r="O484" s="29">
        <f t="shared" si="92"/>
        <v>0</v>
      </c>
      <c r="P484" s="29">
        <f t="shared" si="93"/>
        <v>0</v>
      </c>
      <c r="Q484" s="29">
        <f>IF(A484&lt;&gt;"",SUM(F$2:F484),Q483)</f>
        <v>8</v>
      </c>
      <c r="R484" s="30">
        <f t="shared" si="101"/>
        <v>0</v>
      </c>
    </row>
    <row r="485" spans="1:18" x14ac:dyDescent="0.25">
      <c r="A485" s="27" t="str">
        <f>IF('Data Sheet'!A485="","",'Data Sheet'!A485)</f>
        <v/>
      </c>
      <c r="B485" s="28" t="str">
        <f>IF('Data Sheet'!B485="","",'Data Sheet'!B485)</f>
        <v/>
      </c>
      <c r="C485" s="28" t="str">
        <f>IF('Data Sheet'!C485="","",'Data Sheet'!C485)</f>
        <v/>
      </c>
      <c r="D485" s="28" t="str">
        <f>IF('Data Sheet'!D485="","",'Data Sheet'!D485)</f>
        <v/>
      </c>
      <c r="E485" s="29" t="str">
        <f t="shared" si="90"/>
        <v/>
      </c>
      <c r="F485" s="51">
        <v>0</v>
      </c>
      <c r="G485" s="49">
        <f t="shared" si="94"/>
        <v>0</v>
      </c>
      <c r="H485" s="49">
        <f t="shared" si="95"/>
        <v>0</v>
      </c>
      <c r="I485" s="49">
        <f t="shared" si="96"/>
        <v>0</v>
      </c>
      <c r="J485" s="49">
        <f t="shared" si="97"/>
        <v>0</v>
      </c>
      <c r="K485" s="49">
        <f t="shared" si="98"/>
        <v>0</v>
      </c>
      <c r="L485" s="49">
        <f t="shared" si="99"/>
        <v>0</v>
      </c>
      <c r="M485" s="49">
        <f t="shared" si="100"/>
        <v>0</v>
      </c>
      <c r="N485" s="29" t="str">
        <f t="shared" si="91"/>
        <v/>
      </c>
      <c r="O485" s="29">
        <f t="shared" si="92"/>
        <v>0</v>
      </c>
      <c r="P485" s="29">
        <f t="shared" si="93"/>
        <v>0</v>
      </c>
      <c r="Q485" s="29">
        <f>IF(A485&lt;&gt;"",SUM(F$2:F485),Q484)</f>
        <v>8</v>
      </c>
      <c r="R485" s="30">
        <f t="shared" si="101"/>
        <v>0</v>
      </c>
    </row>
    <row r="486" spans="1:18" x14ac:dyDescent="0.25">
      <c r="A486" s="27" t="str">
        <f>IF('Data Sheet'!A486="","",'Data Sheet'!A486)</f>
        <v/>
      </c>
      <c r="B486" s="28" t="str">
        <f>IF('Data Sheet'!B486="","",'Data Sheet'!B486)</f>
        <v/>
      </c>
      <c r="C486" s="28" t="str">
        <f>IF('Data Sheet'!C486="","",'Data Sheet'!C486)</f>
        <v/>
      </c>
      <c r="D486" s="28" t="str">
        <f>IF('Data Sheet'!D486="","",'Data Sheet'!D486)</f>
        <v/>
      </c>
      <c r="E486" s="29" t="str">
        <f t="shared" si="90"/>
        <v/>
      </c>
      <c r="F486" s="51">
        <v>0</v>
      </c>
      <c r="G486" s="49">
        <f t="shared" si="94"/>
        <v>0</v>
      </c>
      <c r="H486" s="49">
        <f t="shared" si="95"/>
        <v>0</v>
      </c>
      <c r="I486" s="49">
        <f t="shared" si="96"/>
        <v>0</v>
      </c>
      <c r="J486" s="49">
        <f t="shared" si="97"/>
        <v>0</v>
      </c>
      <c r="K486" s="49">
        <f t="shared" si="98"/>
        <v>0</v>
      </c>
      <c r="L486" s="49">
        <f t="shared" si="99"/>
        <v>0</v>
      </c>
      <c r="M486" s="49">
        <f t="shared" si="100"/>
        <v>0</v>
      </c>
      <c r="N486" s="29" t="str">
        <f t="shared" si="91"/>
        <v/>
      </c>
      <c r="O486" s="29">
        <f t="shared" si="92"/>
        <v>0</v>
      </c>
      <c r="P486" s="29">
        <f t="shared" si="93"/>
        <v>0</v>
      </c>
      <c r="Q486" s="29">
        <f>IF(A486&lt;&gt;"",SUM(F$2:F486),Q485)</f>
        <v>8</v>
      </c>
      <c r="R486" s="30">
        <f t="shared" si="101"/>
        <v>0</v>
      </c>
    </row>
    <row r="487" spans="1:18" x14ac:dyDescent="0.25">
      <c r="A487" s="27" t="str">
        <f>IF('Data Sheet'!A487="","",'Data Sheet'!A487)</f>
        <v/>
      </c>
      <c r="B487" s="28" t="str">
        <f>IF('Data Sheet'!B487="","",'Data Sheet'!B487)</f>
        <v/>
      </c>
      <c r="C487" s="28" t="str">
        <f>IF('Data Sheet'!C487="","",'Data Sheet'!C487)</f>
        <v/>
      </c>
      <c r="D487" s="28" t="str">
        <f>IF('Data Sheet'!D487="","",'Data Sheet'!D487)</f>
        <v/>
      </c>
      <c r="E487" s="29" t="str">
        <f t="shared" si="90"/>
        <v/>
      </c>
      <c r="F487" s="51">
        <v>0</v>
      </c>
      <c r="G487" s="49">
        <f t="shared" si="94"/>
        <v>0</v>
      </c>
      <c r="H487" s="49">
        <f t="shared" si="95"/>
        <v>0</v>
      </c>
      <c r="I487" s="49">
        <f t="shared" si="96"/>
        <v>0</v>
      </c>
      <c r="J487" s="49">
        <f t="shared" si="97"/>
        <v>0</v>
      </c>
      <c r="K487" s="49">
        <f t="shared" si="98"/>
        <v>0</v>
      </c>
      <c r="L487" s="49">
        <f t="shared" si="99"/>
        <v>0</v>
      </c>
      <c r="M487" s="49">
        <f t="shared" si="100"/>
        <v>0</v>
      </c>
      <c r="N487" s="29" t="str">
        <f t="shared" si="91"/>
        <v/>
      </c>
      <c r="O487" s="29">
        <f t="shared" si="92"/>
        <v>0</v>
      </c>
      <c r="P487" s="29">
        <f t="shared" si="93"/>
        <v>0</v>
      </c>
      <c r="Q487" s="29">
        <f>IF(A487&lt;&gt;"",SUM(F$2:F487),Q486)</f>
        <v>8</v>
      </c>
      <c r="R487" s="30">
        <f t="shared" si="101"/>
        <v>0</v>
      </c>
    </row>
    <row r="488" spans="1:18" x14ac:dyDescent="0.25">
      <c r="A488" s="27" t="str">
        <f>IF('Data Sheet'!A488="","",'Data Sheet'!A488)</f>
        <v/>
      </c>
      <c r="B488" s="28" t="str">
        <f>IF('Data Sheet'!B488="","",'Data Sheet'!B488)</f>
        <v/>
      </c>
      <c r="C488" s="28" t="str">
        <f>IF('Data Sheet'!C488="","",'Data Sheet'!C488)</f>
        <v/>
      </c>
      <c r="D488" s="28" t="str">
        <f>IF('Data Sheet'!D488="","",'Data Sheet'!D488)</f>
        <v/>
      </c>
      <c r="E488" s="29" t="str">
        <f t="shared" si="90"/>
        <v/>
      </c>
      <c r="F488" s="51">
        <v>0</v>
      </c>
      <c r="G488" s="49">
        <f t="shared" si="94"/>
        <v>0</v>
      </c>
      <c r="H488" s="49">
        <f t="shared" si="95"/>
        <v>0</v>
      </c>
      <c r="I488" s="49">
        <f t="shared" si="96"/>
        <v>0</v>
      </c>
      <c r="J488" s="49">
        <f t="shared" si="97"/>
        <v>0</v>
      </c>
      <c r="K488" s="49">
        <f t="shared" si="98"/>
        <v>0</v>
      </c>
      <c r="L488" s="49">
        <f t="shared" si="99"/>
        <v>0</v>
      </c>
      <c r="M488" s="49">
        <f t="shared" si="100"/>
        <v>0</v>
      </c>
      <c r="N488" s="29" t="str">
        <f t="shared" si="91"/>
        <v/>
      </c>
      <c r="O488" s="29">
        <f t="shared" si="92"/>
        <v>0</v>
      </c>
      <c r="P488" s="29">
        <f t="shared" si="93"/>
        <v>0</v>
      </c>
      <c r="Q488" s="29">
        <f>IF(A488&lt;&gt;"",SUM(F$2:F488),Q487)</f>
        <v>8</v>
      </c>
      <c r="R488" s="30">
        <f t="shared" si="101"/>
        <v>0</v>
      </c>
    </row>
    <row r="489" spans="1:18" x14ac:dyDescent="0.25">
      <c r="A489" s="27" t="str">
        <f>IF('Data Sheet'!A489="","",'Data Sheet'!A489)</f>
        <v/>
      </c>
      <c r="B489" s="28" t="str">
        <f>IF('Data Sheet'!B489="","",'Data Sheet'!B489)</f>
        <v/>
      </c>
      <c r="C489" s="28" t="str">
        <f>IF('Data Sheet'!C489="","",'Data Sheet'!C489)</f>
        <v/>
      </c>
      <c r="D489" s="28" t="str">
        <f>IF('Data Sheet'!D489="","",'Data Sheet'!D489)</f>
        <v/>
      </c>
      <c r="E489" s="29" t="str">
        <f t="shared" si="90"/>
        <v/>
      </c>
      <c r="F489" s="51">
        <v>0</v>
      </c>
      <c r="G489" s="49">
        <f t="shared" si="94"/>
        <v>0</v>
      </c>
      <c r="H489" s="49">
        <f t="shared" si="95"/>
        <v>0</v>
      </c>
      <c r="I489" s="49">
        <f t="shared" si="96"/>
        <v>0</v>
      </c>
      <c r="J489" s="49">
        <f t="shared" si="97"/>
        <v>0</v>
      </c>
      <c r="K489" s="49">
        <f t="shared" si="98"/>
        <v>0</v>
      </c>
      <c r="L489" s="49">
        <f t="shared" si="99"/>
        <v>0</v>
      </c>
      <c r="M489" s="49">
        <f t="shared" si="100"/>
        <v>0</v>
      </c>
      <c r="N489" s="29" t="str">
        <f t="shared" si="91"/>
        <v/>
      </c>
      <c r="O489" s="29">
        <f t="shared" si="92"/>
        <v>0</v>
      </c>
      <c r="P489" s="29">
        <f t="shared" si="93"/>
        <v>0</v>
      </c>
      <c r="Q489" s="29">
        <f>IF(A489&lt;&gt;"",SUM(F$2:F489),Q488)</f>
        <v>8</v>
      </c>
      <c r="R489" s="30">
        <f t="shared" si="101"/>
        <v>0</v>
      </c>
    </row>
    <row r="490" spans="1:18" x14ac:dyDescent="0.25">
      <c r="A490" s="27" t="str">
        <f>IF('Data Sheet'!A490="","",'Data Sheet'!A490)</f>
        <v/>
      </c>
      <c r="B490" s="28" t="str">
        <f>IF('Data Sheet'!B490="","",'Data Sheet'!B490)</f>
        <v/>
      </c>
      <c r="C490" s="28" t="str">
        <f>IF('Data Sheet'!C490="","",'Data Sheet'!C490)</f>
        <v/>
      </c>
      <c r="D490" s="28" t="str">
        <f>IF('Data Sheet'!D490="","",'Data Sheet'!D490)</f>
        <v/>
      </c>
      <c r="E490" s="29" t="str">
        <f t="shared" si="90"/>
        <v/>
      </c>
      <c r="F490" s="51">
        <v>0</v>
      </c>
      <c r="G490" s="49">
        <f t="shared" si="94"/>
        <v>0</v>
      </c>
      <c r="H490" s="49">
        <f t="shared" si="95"/>
        <v>0</v>
      </c>
      <c r="I490" s="49">
        <f t="shared" si="96"/>
        <v>0</v>
      </c>
      <c r="J490" s="49">
        <f t="shared" si="97"/>
        <v>0</v>
      </c>
      <c r="K490" s="49">
        <f t="shared" si="98"/>
        <v>0</v>
      </c>
      <c r="L490" s="49">
        <f t="shared" si="99"/>
        <v>0</v>
      </c>
      <c r="M490" s="49">
        <f t="shared" si="100"/>
        <v>0</v>
      </c>
      <c r="N490" s="29" t="str">
        <f t="shared" si="91"/>
        <v/>
      </c>
      <c r="O490" s="29">
        <f t="shared" si="92"/>
        <v>0</v>
      </c>
      <c r="P490" s="29">
        <f t="shared" si="93"/>
        <v>0</v>
      </c>
      <c r="Q490" s="29">
        <f>IF(A490&lt;&gt;"",SUM(F$2:F490),Q489)</f>
        <v>8</v>
      </c>
      <c r="R490" s="30">
        <f t="shared" si="101"/>
        <v>0</v>
      </c>
    </row>
    <row r="491" spans="1:18" x14ac:dyDescent="0.25">
      <c r="A491" s="27" t="str">
        <f>IF('Data Sheet'!A491="","",'Data Sheet'!A491)</f>
        <v/>
      </c>
      <c r="B491" s="28" t="str">
        <f>IF('Data Sheet'!B491="","",'Data Sheet'!B491)</f>
        <v/>
      </c>
      <c r="C491" s="28" t="str">
        <f>IF('Data Sheet'!C491="","",'Data Sheet'!C491)</f>
        <v/>
      </c>
      <c r="D491" s="28" t="str">
        <f>IF('Data Sheet'!D491="","",'Data Sheet'!D491)</f>
        <v/>
      </c>
      <c r="E491" s="29" t="str">
        <f t="shared" si="90"/>
        <v/>
      </c>
      <c r="F491" s="51">
        <v>0</v>
      </c>
      <c r="G491" s="49">
        <f t="shared" si="94"/>
        <v>0</v>
      </c>
      <c r="H491" s="49">
        <f t="shared" si="95"/>
        <v>0</v>
      </c>
      <c r="I491" s="49">
        <f t="shared" si="96"/>
        <v>0</v>
      </c>
      <c r="J491" s="49">
        <f t="shared" si="97"/>
        <v>0</v>
      </c>
      <c r="K491" s="49">
        <f t="shared" si="98"/>
        <v>0</v>
      </c>
      <c r="L491" s="49">
        <f t="shared" si="99"/>
        <v>0</v>
      </c>
      <c r="M491" s="49">
        <f t="shared" si="100"/>
        <v>0</v>
      </c>
      <c r="N491" s="29" t="str">
        <f t="shared" si="91"/>
        <v/>
      </c>
      <c r="O491" s="29">
        <f t="shared" si="92"/>
        <v>0</v>
      </c>
      <c r="P491" s="29">
        <f t="shared" si="93"/>
        <v>0</v>
      </c>
      <c r="Q491" s="29">
        <f>IF(A491&lt;&gt;"",SUM(F$2:F491),Q490)</f>
        <v>8</v>
      </c>
      <c r="R491" s="30">
        <f t="shared" si="101"/>
        <v>0</v>
      </c>
    </row>
    <row r="492" spans="1:18" x14ac:dyDescent="0.25">
      <c r="A492" s="27" t="str">
        <f>IF('Data Sheet'!A492="","",'Data Sheet'!A492)</f>
        <v/>
      </c>
      <c r="B492" s="28" t="str">
        <f>IF('Data Sheet'!B492="","",'Data Sheet'!B492)</f>
        <v/>
      </c>
      <c r="C492" s="28" t="str">
        <f>IF('Data Sheet'!C492="","",'Data Sheet'!C492)</f>
        <v/>
      </c>
      <c r="D492" s="28" t="str">
        <f>IF('Data Sheet'!D492="","",'Data Sheet'!D492)</f>
        <v/>
      </c>
      <c r="E492" s="29" t="str">
        <f t="shared" si="90"/>
        <v/>
      </c>
      <c r="F492" s="51">
        <v>0</v>
      </c>
      <c r="G492" s="49">
        <f t="shared" si="94"/>
        <v>0</v>
      </c>
      <c r="H492" s="49">
        <f t="shared" si="95"/>
        <v>0</v>
      </c>
      <c r="I492" s="49">
        <f t="shared" si="96"/>
        <v>0</v>
      </c>
      <c r="J492" s="49">
        <f t="shared" si="97"/>
        <v>0</v>
      </c>
      <c r="K492" s="49">
        <f t="shared" si="98"/>
        <v>0</v>
      </c>
      <c r="L492" s="49">
        <f t="shared" si="99"/>
        <v>0</v>
      </c>
      <c r="M492" s="49">
        <f t="shared" si="100"/>
        <v>0</v>
      </c>
      <c r="N492" s="29" t="str">
        <f t="shared" si="91"/>
        <v/>
      </c>
      <c r="O492" s="29">
        <f t="shared" si="92"/>
        <v>0</v>
      </c>
      <c r="P492" s="29">
        <f t="shared" si="93"/>
        <v>0</v>
      </c>
      <c r="Q492" s="29">
        <f>IF(A492&lt;&gt;"",SUM(F$2:F492),Q491)</f>
        <v>8</v>
      </c>
      <c r="R492" s="30">
        <f t="shared" si="101"/>
        <v>0</v>
      </c>
    </row>
    <row r="493" spans="1:18" x14ac:dyDescent="0.25">
      <c r="A493" s="27" t="str">
        <f>IF('Data Sheet'!A493="","",'Data Sheet'!A493)</f>
        <v/>
      </c>
      <c r="B493" s="28" t="str">
        <f>IF('Data Sheet'!B493="","",'Data Sheet'!B493)</f>
        <v/>
      </c>
      <c r="C493" s="28" t="str">
        <f>IF('Data Sheet'!C493="","",'Data Sheet'!C493)</f>
        <v/>
      </c>
      <c r="D493" s="28" t="str">
        <f>IF('Data Sheet'!D493="","",'Data Sheet'!D493)</f>
        <v/>
      </c>
      <c r="E493" s="29" t="str">
        <f t="shared" si="90"/>
        <v/>
      </c>
      <c r="F493" s="51">
        <v>0</v>
      </c>
      <c r="G493" s="49">
        <f t="shared" si="94"/>
        <v>0</v>
      </c>
      <c r="H493" s="49">
        <f t="shared" si="95"/>
        <v>0</v>
      </c>
      <c r="I493" s="49">
        <f t="shared" si="96"/>
        <v>0</v>
      </c>
      <c r="J493" s="49">
        <f t="shared" si="97"/>
        <v>0</v>
      </c>
      <c r="K493" s="49">
        <f t="shared" si="98"/>
        <v>0</v>
      </c>
      <c r="L493" s="49">
        <f t="shared" si="99"/>
        <v>0</v>
      </c>
      <c r="M493" s="49">
        <f t="shared" si="100"/>
        <v>0</v>
      </c>
      <c r="N493" s="29" t="str">
        <f t="shared" si="91"/>
        <v/>
      </c>
      <c r="O493" s="29">
        <f t="shared" si="92"/>
        <v>0</v>
      </c>
      <c r="P493" s="29">
        <f t="shared" si="93"/>
        <v>0</v>
      </c>
      <c r="Q493" s="29">
        <f>IF(A493&lt;&gt;"",SUM(F$2:F493),Q492)</f>
        <v>8</v>
      </c>
      <c r="R493" s="30">
        <f t="shared" si="101"/>
        <v>0</v>
      </c>
    </row>
    <row r="494" spans="1:18" x14ac:dyDescent="0.25">
      <c r="A494" s="27" t="str">
        <f>IF('Data Sheet'!A494="","",'Data Sheet'!A494)</f>
        <v/>
      </c>
      <c r="B494" s="28" t="str">
        <f>IF('Data Sheet'!B494="","",'Data Sheet'!B494)</f>
        <v/>
      </c>
      <c r="C494" s="28" t="str">
        <f>IF('Data Sheet'!C494="","",'Data Sheet'!C494)</f>
        <v/>
      </c>
      <c r="D494" s="28" t="str">
        <f>IF('Data Sheet'!D494="","",'Data Sheet'!D494)</f>
        <v/>
      </c>
      <c r="E494" s="29" t="str">
        <f t="shared" si="90"/>
        <v/>
      </c>
      <c r="F494" s="51">
        <v>0</v>
      </c>
      <c r="G494" s="49">
        <f t="shared" si="94"/>
        <v>0</v>
      </c>
      <c r="H494" s="49">
        <f t="shared" si="95"/>
        <v>0</v>
      </c>
      <c r="I494" s="49">
        <f t="shared" si="96"/>
        <v>0</v>
      </c>
      <c r="J494" s="49">
        <f t="shared" si="97"/>
        <v>0</v>
      </c>
      <c r="K494" s="49">
        <f t="shared" si="98"/>
        <v>0</v>
      </c>
      <c r="L494" s="49">
        <f t="shared" si="99"/>
        <v>0</v>
      </c>
      <c r="M494" s="49">
        <f t="shared" si="100"/>
        <v>0</v>
      </c>
      <c r="N494" s="29" t="str">
        <f t="shared" si="91"/>
        <v/>
      </c>
      <c r="O494" s="29">
        <f t="shared" si="92"/>
        <v>0</v>
      </c>
      <c r="P494" s="29">
        <f t="shared" si="93"/>
        <v>0</v>
      </c>
      <c r="Q494" s="29">
        <f>IF(A494&lt;&gt;"",SUM(F$2:F494),Q493)</f>
        <v>8</v>
      </c>
      <c r="R494" s="30">
        <f t="shared" si="101"/>
        <v>0</v>
      </c>
    </row>
    <row r="495" spans="1:18" x14ac:dyDescent="0.25">
      <c r="A495" s="27" t="str">
        <f>IF('Data Sheet'!A495="","",'Data Sheet'!A495)</f>
        <v/>
      </c>
      <c r="B495" s="28" t="str">
        <f>IF('Data Sheet'!B495="","",'Data Sheet'!B495)</f>
        <v/>
      </c>
      <c r="C495" s="28" t="str">
        <f>IF('Data Sheet'!C495="","",'Data Sheet'!C495)</f>
        <v/>
      </c>
      <c r="D495" s="28" t="str">
        <f>IF('Data Sheet'!D495="","",'Data Sheet'!D495)</f>
        <v/>
      </c>
      <c r="E495" s="29" t="str">
        <f t="shared" si="90"/>
        <v/>
      </c>
      <c r="F495" s="51">
        <v>0</v>
      </c>
      <c r="G495" s="49">
        <f t="shared" si="94"/>
        <v>0</v>
      </c>
      <c r="H495" s="49">
        <f t="shared" si="95"/>
        <v>0</v>
      </c>
      <c r="I495" s="49">
        <f t="shared" si="96"/>
        <v>0</v>
      </c>
      <c r="J495" s="49">
        <f t="shared" si="97"/>
        <v>0</v>
      </c>
      <c r="K495" s="49">
        <f t="shared" si="98"/>
        <v>0</v>
      </c>
      <c r="L495" s="49">
        <f t="shared" si="99"/>
        <v>0</v>
      </c>
      <c r="M495" s="49">
        <f t="shared" si="100"/>
        <v>0</v>
      </c>
      <c r="N495" s="29" t="str">
        <f t="shared" si="91"/>
        <v/>
      </c>
      <c r="O495" s="29">
        <f t="shared" si="92"/>
        <v>0</v>
      </c>
      <c r="P495" s="29">
        <f t="shared" si="93"/>
        <v>0</v>
      </c>
      <c r="Q495" s="29">
        <f>IF(A495&lt;&gt;"",SUM(F$2:F495),Q494)</f>
        <v>8</v>
      </c>
      <c r="R495" s="30">
        <f t="shared" si="101"/>
        <v>0</v>
      </c>
    </row>
    <row r="496" spans="1:18" x14ac:dyDescent="0.25">
      <c r="A496" s="27" t="str">
        <f>IF('Data Sheet'!A496="","",'Data Sheet'!A496)</f>
        <v/>
      </c>
      <c r="B496" s="28" t="str">
        <f>IF('Data Sheet'!B496="","",'Data Sheet'!B496)</f>
        <v/>
      </c>
      <c r="C496" s="28" t="str">
        <f>IF('Data Sheet'!C496="","",'Data Sheet'!C496)</f>
        <v/>
      </c>
      <c r="D496" s="28" t="str">
        <f>IF('Data Sheet'!D496="","",'Data Sheet'!D496)</f>
        <v/>
      </c>
      <c r="E496" s="29" t="str">
        <f t="shared" si="90"/>
        <v/>
      </c>
      <c r="F496" s="51">
        <v>0</v>
      </c>
      <c r="G496" s="49">
        <f t="shared" si="94"/>
        <v>0</v>
      </c>
      <c r="H496" s="49">
        <f t="shared" si="95"/>
        <v>0</v>
      </c>
      <c r="I496" s="49">
        <f t="shared" si="96"/>
        <v>0</v>
      </c>
      <c r="J496" s="49">
        <f t="shared" si="97"/>
        <v>0</v>
      </c>
      <c r="K496" s="49">
        <f t="shared" si="98"/>
        <v>0</v>
      </c>
      <c r="L496" s="49">
        <f t="shared" si="99"/>
        <v>0</v>
      </c>
      <c r="M496" s="49">
        <f t="shared" si="100"/>
        <v>0</v>
      </c>
      <c r="N496" s="29" t="str">
        <f t="shared" si="91"/>
        <v/>
      </c>
      <c r="O496" s="29">
        <f t="shared" si="92"/>
        <v>0</v>
      </c>
      <c r="P496" s="29">
        <f t="shared" si="93"/>
        <v>0</v>
      </c>
      <c r="Q496" s="29">
        <f>IF(A496&lt;&gt;"",SUM(F$2:F496),Q495)</f>
        <v>8</v>
      </c>
      <c r="R496" s="30">
        <f t="shared" si="101"/>
        <v>0</v>
      </c>
    </row>
    <row r="497" spans="1:18" x14ac:dyDescent="0.25">
      <c r="A497" s="27" t="str">
        <f>IF('Data Sheet'!A497="","",'Data Sheet'!A497)</f>
        <v/>
      </c>
      <c r="B497" s="28" t="str">
        <f>IF('Data Sheet'!B497="","",'Data Sheet'!B497)</f>
        <v/>
      </c>
      <c r="C497" s="28" t="str">
        <f>IF('Data Sheet'!C497="","",'Data Sheet'!C497)</f>
        <v/>
      </c>
      <c r="D497" s="28" t="str">
        <f>IF('Data Sheet'!D497="","",'Data Sheet'!D497)</f>
        <v/>
      </c>
      <c r="E497" s="29" t="str">
        <f t="shared" si="90"/>
        <v/>
      </c>
      <c r="F497" s="51">
        <v>0</v>
      </c>
      <c r="G497" s="49">
        <f t="shared" si="94"/>
        <v>0</v>
      </c>
      <c r="H497" s="49">
        <f t="shared" si="95"/>
        <v>0</v>
      </c>
      <c r="I497" s="49">
        <f t="shared" si="96"/>
        <v>0</v>
      </c>
      <c r="J497" s="49">
        <f t="shared" si="97"/>
        <v>0</v>
      </c>
      <c r="K497" s="49">
        <f t="shared" si="98"/>
        <v>0</v>
      </c>
      <c r="L497" s="49">
        <f t="shared" si="99"/>
        <v>0</v>
      </c>
      <c r="M497" s="49">
        <f t="shared" si="100"/>
        <v>0</v>
      </c>
      <c r="N497" s="29" t="str">
        <f t="shared" si="91"/>
        <v/>
      </c>
      <c r="O497" s="29">
        <f t="shared" si="92"/>
        <v>0</v>
      </c>
      <c r="P497" s="29">
        <f t="shared" si="93"/>
        <v>0</v>
      </c>
      <c r="Q497" s="29">
        <f>IF(A497&lt;&gt;"",SUM(F$2:F497),Q496)</f>
        <v>8</v>
      </c>
      <c r="R497" s="30">
        <f t="shared" si="101"/>
        <v>0</v>
      </c>
    </row>
    <row r="498" spans="1:18" x14ac:dyDescent="0.25">
      <c r="A498" s="27" t="str">
        <f>IF('Data Sheet'!A498="","",'Data Sheet'!A498)</f>
        <v/>
      </c>
      <c r="B498" s="28" t="str">
        <f>IF('Data Sheet'!B498="","",'Data Sheet'!B498)</f>
        <v/>
      </c>
      <c r="C498" s="28" t="str">
        <f>IF('Data Sheet'!C498="","",'Data Sheet'!C498)</f>
        <v/>
      </c>
      <c r="D498" s="28" t="str">
        <f>IF('Data Sheet'!D498="","",'Data Sheet'!D498)</f>
        <v/>
      </c>
      <c r="E498" s="29" t="str">
        <f t="shared" si="90"/>
        <v/>
      </c>
      <c r="F498" s="51">
        <v>0</v>
      </c>
      <c r="G498" s="49">
        <f t="shared" si="94"/>
        <v>0</v>
      </c>
      <c r="H498" s="49">
        <f t="shared" si="95"/>
        <v>0</v>
      </c>
      <c r="I498" s="49">
        <f t="shared" si="96"/>
        <v>0</v>
      </c>
      <c r="J498" s="49">
        <f t="shared" si="97"/>
        <v>0</v>
      </c>
      <c r="K498" s="49">
        <f t="shared" si="98"/>
        <v>0</v>
      </c>
      <c r="L498" s="49">
        <f t="shared" si="99"/>
        <v>0</v>
      </c>
      <c r="M498" s="49">
        <f t="shared" si="100"/>
        <v>0</v>
      </c>
      <c r="N498" s="29" t="str">
        <f t="shared" si="91"/>
        <v/>
      </c>
      <c r="O498" s="29">
        <f t="shared" si="92"/>
        <v>0</v>
      </c>
      <c r="P498" s="29">
        <f t="shared" si="93"/>
        <v>0</v>
      </c>
      <c r="Q498" s="29">
        <f>IF(A498&lt;&gt;"",SUM(F$2:F498),Q497)</f>
        <v>8</v>
      </c>
      <c r="R498" s="30">
        <f t="shared" si="101"/>
        <v>0</v>
      </c>
    </row>
    <row r="499" spans="1:18" x14ac:dyDescent="0.25">
      <c r="A499" s="27" t="str">
        <f>IF('Data Sheet'!A499="","",'Data Sheet'!A499)</f>
        <v/>
      </c>
      <c r="B499" s="28" t="str">
        <f>IF('Data Sheet'!B499="","",'Data Sheet'!B499)</f>
        <v/>
      </c>
      <c r="C499" s="28" t="str">
        <f>IF('Data Sheet'!C499="","",'Data Sheet'!C499)</f>
        <v/>
      </c>
      <c r="D499" s="28" t="str">
        <f>IF('Data Sheet'!D499="","",'Data Sheet'!D499)</f>
        <v/>
      </c>
      <c r="E499" s="29" t="str">
        <f t="shared" si="90"/>
        <v/>
      </c>
      <c r="F499" s="51">
        <v>0</v>
      </c>
      <c r="G499" s="49">
        <f t="shared" si="94"/>
        <v>0</v>
      </c>
      <c r="H499" s="49">
        <f t="shared" si="95"/>
        <v>0</v>
      </c>
      <c r="I499" s="49">
        <f t="shared" si="96"/>
        <v>0</v>
      </c>
      <c r="J499" s="49">
        <f t="shared" si="97"/>
        <v>0</v>
      </c>
      <c r="K499" s="49">
        <f t="shared" si="98"/>
        <v>0</v>
      </c>
      <c r="L499" s="49">
        <f t="shared" si="99"/>
        <v>0</v>
      </c>
      <c r="M499" s="49">
        <f t="shared" si="100"/>
        <v>0</v>
      </c>
      <c r="N499" s="29" t="str">
        <f t="shared" si="91"/>
        <v/>
      </c>
      <c r="O499" s="29">
        <f t="shared" si="92"/>
        <v>0</v>
      </c>
      <c r="P499" s="29">
        <f t="shared" si="93"/>
        <v>0</v>
      </c>
      <c r="Q499" s="29">
        <f>IF(A499&lt;&gt;"",SUM(F$2:F499),Q498)</f>
        <v>8</v>
      </c>
      <c r="R499" s="30">
        <f t="shared" ref="R499:R500" si="102">IF(Q499=Q498,0,Q499)</f>
        <v>0</v>
      </c>
    </row>
    <row r="500" spans="1:18" ht="15.75" thickBot="1" x14ac:dyDescent="0.3">
      <c r="A500" s="31" t="str">
        <f>IF('Data Sheet'!A500="","",'Data Sheet'!A500)</f>
        <v/>
      </c>
      <c r="B500" s="32" t="str">
        <f>IF('Data Sheet'!B500="","",'Data Sheet'!B500)</f>
        <v/>
      </c>
      <c r="C500" s="32" t="str">
        <f>IF('Data Sheet'!C500="","",'Data Sheet'!C500)</f>
        <v/>
      </c>
      <c r="D500" s="32" t="str">
        <f>IF('Data Sheet'!D500="","",'Data Sheet'!D500)</f>
        <v/>
      </c>
      <c r="E500" s="33" t="str">
        <f t="shared" si="90"/>
        <v/>
      </c>
      <c r="F500" s="52">
        <v>0</v>
      </c>
      <c r="G500" s="33">
        <f t="shared" si="94"/>
        <v>0</v>
      </c>
      <c r="H500" s="33">
        <f t="shared" si="95"/>
        <v>0</v>
      </c>
      <c r="I500" s="33">
        <f t="shared" si="96"/>
        <v>0</v>
      </c>
      <c r="J500" s="33">
        <f t="shared" si="97"/>
        <v>0</v>
      </c>
      <c r="K500" s="33">
        <f t="shared" si="98"/>
        <v>0</v>
      </c>
      <c r="L500" s="33">
        <f t="shared" si="99"/>
        <v>0</v>
      </c>
      <c r="M500" s="33">
        <f t="shared" si="100"/>
        <v>0</v>
      </c>
      <c r="N500" s="33" t="str">
        <f t="shared" si="91"/>
        <v/>
      </c>
      <c r="O500" s="33">
        <f t="shared" si="92"/>
        <v>0</v>
      </c>
      <c r="P500" s="33">
        <f t="shared" si="93"/>
        <v>0</v>
      </c>
      <c r="Q500" s="33">
        <f>IF(A500&lt;&gt;"",SUM(F$2:F500),Q499)</f>
        <v>8</v>
      </c>
      <c r="R500" s="34">
        <f t="shared" si="102"/>
        <v>0</v>
      </c>
    </row>
    <row r="501" spans="1:18" ht="15.75" thickTop="1" x14ac:dyDescent="0.25"/>
  </sheetData>
  <pageMargins left="0.7" right="0.7" top="0.75" bottom="0.75" header="0.3" footer="0.3"/>
  <pageSetup orientation="portrait" r:id="rId1"/>
  <ignoredErrors>
    <ignoredError sqref="G2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Lineups">
                <anchor moveWithCells="1" sizeWithCells="1">
                  <from>
                    <xdr:col>22</xdr:col>
                    <xdr:colOff>161925</xdr:colOff>
                    <xdr:row>18</xdr:row>
                    <xdr:rowOff>28575</xdr:rowOff>
                  </from>
                  <to>
                    <xdr:col>24</xdr:col>
                    <xdr:colOff>28575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0"/>
  <sheetViews>
    <sheetView showGridLines="0" workbookViewId="0">
      <selection activeCell="C2" sqref="C2:C9"/>
    </sheetView>
  </sheetViews>
  <sheetFormatPr defaultRowHeight="15" x14ac:dyDescent="0.25"/>
  <cols>
    <col min="3" max="3" width="24.42578125" bestFit="1" customWidth="1"/>
  </cols>
  <sheetData>
    <row r="1" spans="1:5" x14ac:dyDescent="0.25">
      <c r="A1" s="11" t="s">
        <v>63</v>
      </c>
      <c r="B1" s="12" t="s">
        <v>0</v>
      </c>
      <c r="C1" s="12" t="s">
        <v>1</v>
      </c>
      <c r="D1" s="12" t="s">
        <v>2</v>
      </c>
      <c r="E1" s="13" t="s">
        <v>58</v>
      </c>
    </row>
    <row r="2" spans="1:5" x14ac:dyDescent="0.25">
      <c r="A2" s="14">
        <v>1</v>
      </c>
      <c r="B2" s="7" t="s">
        <v>9</v>
      </c>
      <c r="C2" s="7" t="s">
        <v>10</v>
      </c>
      <c r="D2" s="7">
        <v>7300</v>
      </c>
      <c r="E2" s="15">
        <v>44.2</v>
      </c>
    </row>
    <row r="3" spans="1:5" x14ac:dyDescent="0.25">
      <c r="A3" s="14">
        <v>2</v>
      </c>
      <c r="B3" s="7" t="s">
        <v>5</v>
      </c>
      <c r="C3" s="7" t="s">
        <v>17</v>
      </c>
      <c r="D3" s="7">
        <v>6300</v>
      </c>
      <c r="E3" s="15">
        <v>36.5</v>
      </c>
    </row>
    <row r="4" spans="1:5" x14ac:dyDescent="0.25">
      <c r="A4" s="14">
        <v>3</v>
      </c>
      <c r="B4" s="7" t="s">
        <v>9</v>
      </c>
      <c r="C4" s="7" t="s">
        <v>124</v>
      </c>
      <c r="D4" s="7">
        <v>7000</v>
      </c>
      <c r="E4" s="15">
        <v>40</v>
      </c>
    </row>
    <row r="5" spans="1:5" x14ac:dyDescent="0.25">
      <c r="A5" s="14">
        <v>4</v>
      </c>
      <c r="B5" s="7" t="s">
        <v>3</v>
      </c>
      <c r="C5" s="7" t="s">
        <v>76</v>
      </c>
      <c r="D5" s="7">
        <v>6900</v>
      </c>
      <c r="E5" s="15">
        <v>39.5</v>
      </c>
    </row>
    <row r="6" spans="1:5" x14ac:dyDescent="0.25">
      <c r="A6" s="14">
        <v>5</v>
      </c>
      <c r="B6" s="7" t="s">
        <v>6</v>
      </c>
      <c r="C6" s="7" t="s">
        <v>35</v>
      </c>
      <c r="D6" s="7">
        <v>5400</v>
      </c>
      <c r="E6" s="15">
        <v>30.3</v>
      </c>
    </row>
    <row r="7" spans="1:5" x14ac:dyDescent="0.25">
      <c r="A7" s="14">
        <v>6</v>
      </c>
      <c r="B7" s="7" t="s">
        <v>5</v>
      </c>
      <c r="C7" s="7" t="s">
        <v>15</v>
      </c>
      <c r="D7" s="7">
        <v>7900</v>
      </c>
      <c r="E7" s="15">
        <v>45.9</v>
      </c>
    </row>
    <row r="8" spans="1:5" x14ac:dyDescent="0.25">
      <c r="A8" s="14">
        <v>7</v>
      </c>
      <c r="B8" s="7" t="s">
        <v>6</v>
      </c>
      <c r="C8" s="7" t="s">
        <v>37</v>
      </c>
      <c r="D8" s="7">
        <v>4900</v>
      </c>
      <c r="E8" s="15">
        <v>27</v>
      </c>
    </row>
    <row r="9" spans="1:5" x14ac:dyDescent="0.25">
      <c r="A9" s="16">
        <v>8</v>
      </c>
      <c r="B9" s="10" t="s">
        <v>7</v>
      </c>
      <c r="C9" s="10" t="s">
        <v>22</v>
      </c>
      <c r="D9" s="10">
        <v>3900</v>
      </c>
      <c r="E9" s="17">
        <v>28.5</v>
      </c>
    </row>
    <row r="10" spans="1:5" ht="15.75" thickBot="1" x14ac:dyDescent="0.3">
      <c r="A10" s="18"/>
      <c r="B10" s="19"/>
      <c r="C10" s="20" t="s">
        <v>53</v>
      </c>
      <c r="D10" s="21">
        <v>49600</v>
      </c>
      <c r="E10" s="22">
        <v>291.89999999999998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7"/>
  <sheetViews>
    <sheetView tabSelected="1" workbookViewId="0">
      <selection activeCell="L28" sqref="L28"/>
    </sheetView>
  </sheetViews>
  <sheetFormatPr defaultRowHeight="15" x14ac:dyDescent="0.25"/>
  <cols>
    <col min="1" max="1" width="17.7109375" customWidth="1"/>
    <col min="5" max="5" width="18.5703125" customWidth="1"/>
    <col min="8" max="8" width="2.5703125" customWidth="1"/>
    <col min="9" max="9" width="17" customWidth="1"/>
  </cols>
  <sheetData>
    <row r="1" spans="1:10" x14ac:dyDescent="0.25">
      <c r="A1" t="s">
        <v>102</v>
      </c>
      <c r="I1" s="7" t="s">
        <v>21</v>
      </c>
      <c r="J1">
        <v>46.25</v>
      </c>
    </row>
    <row r="2" spans="1:10" x14ac:dyDescent="0.25">
      <c r="I2" s="7" t="s">
        <v>14</v>
      </c>
      <c r="J2">
        <v>61.75</v>
      </c>
    </row>
    <row r="3" spans="1:10" x14ac:dyDescent="0.25">
      <c r="A3" s="7" t="s">
        <v>21</v>
      </c>
      <c r="B3">
        <f>VLOOKUP(A3,fp,2,FALSE)</f>
        <v>46.25</v>
      </c>
      <c r="E3" s="7" t="s">
        <v>29</v>
      </c>
      <c r="F3">
        <f>VLOOKUP(E3,fp,2,FALSE)</f>
        <v>15</v>
      </c>
      <c r="I3" s="7" t="s">
        <v>25</v>
      </c>
      <c r="J3">
        <v>11.75</v>
      </c>
    </row>
    <row r="4" spans="1:10" x14ac:dyDescent="0.25">
      <c r="A4" s="7" t="s">
        <v>14</v>
      </c>
      <c r="B4">
        <f>VLOOKUP(A4,fp,2,FALSE)</f>
        <v>61.75</v>
      </c>
      <c r="E4" s="7" t="s">
        <v>10</v>
      </c>
      <c r="F4">
        <f>VLOOKUP(E4,fp,2,FALSE)</f>
        <v>18</v>
      </c>
      <c r="I4" s="7" t="s">
        <v>10</v>
      </c>
      <c r="J4">
        <v>18</v>
      </c>
    </row>
    <row r="5" spans="1:10" x14ac:dyDescent="0.25">
      <c r="A5" s="7" t="s">
        <v>25</v>
      </c>
      <c r="B5">
        <f>VLOOKUP(A5,fp,2,FALSE)</f>
        <v>11.75</v>
      </c>
      <c r="E5" s="7" t="s">
        <v>120</v>
      </c>
      <c r="F5">
        <f>VLOOKUP(E5,fp,2,FALSE)</f>
        <v>31.25</v>
      </c>
      <c r="I5" s="7" t="s">
        <v>76</v>
      </c>
      <c r="J5">
        <v>31.5</v>
      </c>
    </row>
    <row r="6" spans="1:10" x14ac:dyDescent="0.25">
      <c r="A6" s="7" t="s">
        <v>10</v>
      </c>
      <c r="B6">
        <f>VLOOKUP(A6,fp,2,FALSE)</f>
        <v>18</v>
      </c>
      <c r="E6" s="7" t="s">
        <v>126</v>
      </c>
      <c r="F6">
        <f>VLOOKUP(E6,fp,2,FALSE)</f>
        <v>36.75</v>
      </c>
      <c r="I6" s="7" t="s">
        <v>15</v>
      </c>
      <c r="J6">
        <v>35</v>
      </c>
    </row>
    <row r="7" spans="1:10" x14ac:dyDescent="0.25">
      <c r="A7" s="7" t="s">
        <v>76</v>
      </c>
      <c r="B7">
        <f>VLOOKUP(A7,fp,2,FALSE)</f>
        <v>31.5</v>
      </c>
      <c r="E7" s="7" t="s">
        <v>76</v>
      </c>
      <c r="F7">
        <f>VLOOKUP(E7,fp,2,FALSE)</f>
        <v>31.5</v>
      </c>
      <c r="I7" s="7" t="s">
        <v>13</v>
      </c>
      <c r="J7">
        <v>43</v>
      </c>
    </row>
    <row r="8" spans="1:10" x14ac:dyDescent="0.25">
      <c r="A8" s="7" t="s">
        <v>15</v>
      </c>
      <c r="B8">
        <f>VLOOKUP(A8,fp,2,FALSE)</f>
        <v>35</v>
      </c>
      <c r="E8" s="7" t="s">
        <v>15</v>
      </c>
      <c r="F8">
        <f>VLOOKUP(E8,fp,2,FALSE)</f>
        <v>35</v>
      </c>
      <c r="I8" s="10" t="s">
        <v>22</v>
      </c>
      <c r="J8">
        <v>21</v>
      </c>
    </row>
    <row r="9" spans="1:10" x14ac:dyDescent="0.25">
      <c r="A9" s="7" t="s">
        <v>13</v>
      </c>
      <c r="B9">
        <f>VLOOKUP(A9,fp,2,FALSE)</f>
        <v>43</v>
      </c>
      <c r="E9" s="7" t="s">
        <v>13</v>
      </c>
      <c r="F9">
        <f>VLOOKUP(E9,fp,2,FALSE)</f>
        <v>43</v>
      </c>
      <c r="I9" s="7" t="s">
        <v>16</v>
      </c>
      <c r="J9">
        <v>20</v>
      </c>
    </row>
    <row r="10" spans="1:10" x14ac:dyDescent="0.25">
      <c r="A10" s="10" t="s">
        <v>22</v>
      </c>
      <c r="B10">
        <f>VLOOKUP(A10,fp,2,FALSE)</f>
        <v>21</v>
      </c>
      <c r="E10" s="10" t="s">
        <v>22</v>
      </c>
      <c r="F10">
        <f>VLOOKUP(E10,fp,2,FALSE)</f>
        <v>21</v>
      </c>
      <c r="I10" s="7" t="s">
        <v>17</v>
      </c>
      <c r="J10">
        <v>21</v>
      </c>
    </row>
    <row r="11" spans="1:10" x14ac:dyDescent="0.25">
      <c r="B11">
        <f>SUM(B3:B10)</f>
        <v>268.25</v>
      </c>
      <c r="F11">
        <f>SUM(F3:F10)</f>
        <v>231.5</v>
      </c>
      <c r="I11" s="7" t="s">
        <v>18</v>
      </c>
      <c r="J11">
        <v>43</v>
      </c>
    </row>
    <row r="12" spans="1:10" x14ac:dyDescent="0.25">
      <c r="A12" s="7" t="s">
        <v>21</v>
      </c>
      <c r="B12">
        <f>VLOOKUP(A12,fp,2,FALSE)</f>
        <v>46.25</v>
      </c>
      <c r="E12" s="7" t="s">
        <v>10</v>
      </c>
      <c r="F12">
        <f>VLOOKUP(E12,fp,2,FALSE)</f>
        <v>18</v>
      </c>
      <c r="I12" s="7" t="s">
        <v>23</v>
      </c>
      <c r="J12">
        <v>15.75</v>
      </c>
    </row>
    <row r="13" spans="1:10" x14ac:dyDescent="0.25">
      <c r="A13" s="7" t="s">
        <v>14</v>
      </c>
      <c r="B13">
        <f>VLOOKUP(A13,fp,2,FALSE)</f>
        <v>61.75</v>
      </c>
      <c r="E13" s="7" t="s">
        <v>17</v>
      </c>
      <c r="F13">
        <f>VLOOKUP(E13,fp,2,FALSE)</f>
        <v>21</v>
      </c>
      <c r="I13" s="7" t="s">
        <v>29</v>
      </c>
      <c r="J13">
        <v>15</v>
      </c>
    </row>
    <row r="14" spans="1:10" x14ac:dyDescent="0.25">
      <c r="A14" s="7" t="s">
        <v>16</v>
      </c>
      <c r="B14">
        <f>VLOOKUP(A14,fp,2,FALSE)</f>
        <v>20</v>
      </c>
      <c r="E14" s="7" t="s">
        <v>26</v>
      </c>
      <c r="F14">
        <f>VLOOKUP(E14,fp,2,FALSE)</f>
        <v>14.5</v>
      </c>
      <c r="I14" s="7" t="s">
        <v>120</v>
      </c>
      <c r="J14">
        <v>31.25</v>
      </c>
    </row>
    <row r="15" spans="1:10" x14ac:dyDescent="0.25">
      <c r="A15" s="7" t="s">
        <v>10</v>
      </c>
      <c r="B15">
        <f>VLOOKUP(A15,fp,2,FALSE)</f>
        <v>18</v>
      </c>
      <c r="E15" s="7" t="s">
        <v>120</v>
      </c>
      <c r="F15">
        <f>VLOOKUP(E15,fp,2,FALSE)</f>
        <v>31.25</v>
      </c>
      <c r="I15" s="7" t="s">
        <v>126</v>
      </c>
      <c r="J15">
        <v>36.75</v>
      </c>
    </row>
    <row r="16" spans="1:10" x14ac:dyDescent="0.25">
      <c r="A16" s="7" t="s">
        <v>17</v>
      </c>
      <c r="B16">
        <f>VLOOKUP(A16,fp,2,FALSE)</f>
        <v>21</v>
      </c>
      <c r="E16" s="7" t="s">
        <v>124</v>
      </c>
      <c r="F16">
        <f>VLOOKUP(E16,fp,2,FALSE)</f>
        <v>46.75</v>
      </c>
      <c r="I16" s="10" t="s">
        <v>26</v>
      </c>
      <c r="J16">
        <v>14.5</v>
      </c>
    </row>
    <row r="17" spans="1:10" x14ac:dyDescent="0.25">
      <c r="A17" s="7" t="s">
        <v>76</v>
      </c>
      <c r="B17">
        <f>VLOOKUP(A17,fp,2,FALSE)</f>
        <v>31.5</v>
      </c>
      <c r="E17" s="7" t="s">
        <v>76</v>
      </c>
      <c r="F17">
        <f>VLOOKUP(E17,fp,2,FALSE)</f>
        <v>31.5</v>
      </c>
      <c r="I17" s="5" t="s">
        <v>124</v>
      </c>
      <c r="J17">
        <v>46.75</v>
      </c>
    </row>
    <row r="18" spans="1:10" x14ac:dyDescent="0.25">
      <c r="A18" s="7" t="s">
        <v>15</v>
      </c>
      <c r="B18">
        <f>VLOOKUP(A18,fp,2,FALSE)</f>
        <v>35</v>
      </c>
      <c r="E18" s="7" t="s">
        <v>15</v>
      </c>
      <c r="F18">
        <f>VLOOKUP(E18,fp,2,FALSE)</f>
        <v>35</v>
      </c>
      <c r="I18" s="7" t="s">
        <v>35</v>
      </c>
      <c r="J18">
        <v>28</v>
      </c>
    </row>
    <row r="19" spans="1:10" x14ac:dyDescent="0.25">
      <c r="A19" s="10" t="s">
        <v>22</v>
      </c>
      <c r="B19">
        <f>VLOOKUP(A19,fp,2,FALSE)</f>
        <v>21</v>
      </c>
      <c r="E19" s="10" t="s">
        <v>22</v>
      </c>
      <c r="F19">
        <f>VLOOKUP(E19,fp,2,FALSE)</f>
        <v>21</v>
      </c>
      <c r="I19" s="7" t="s">
        <v>37</v>
      </c>
      <c r="J19">
        <v>27.5</v>
      </c>
    </row>
    <row r="20" spans="1:10" x14ac:dyDescent="0.25">
      <c r="B20">
        <f>SUM(B12:B19)</f>
        <v>254.5</v>
      </c>
      <c r="F20">
        <f>SUM(F12:F19)</f>
        <v>219</v>
      </c>
    </row>
    <row r="21" spans="1:10" x14ac:dyDescent="0.25">
      <c r="A21" s="7" t="s">
        <v>18</v>
      </c>
      <c r="B21">
        <f>VLOOKUP(A21,fp,2,FALSE)</f>
        <v>43</v>
      </c>
      <c r="E21" s="7" t="s">
        <v>10</v>
      </c>
      <c r="F21">
        <f>VLOOKUP(E21,fp,2,FALSE)</f>
        <v>18</v>
      </c>
    </row>
    <row r="22" spans="1:10" x14ac:dyDescent="0.25">
      <c r="A22" s="7" t="s">
        <v>14</v>
      </c>
      <c r="B22">
        <f>VLOOKUP(A22,fp,2,FALSE)</f>
        <v>61.75</v>
      </c>
      <c r="E22" s="7" t="s">
        <v>17</v>
      </c>
      <c r="F22">
        <f>VLOOKUP(E22,fp,2,FALSE)</f>
        <v>21</v>
      </c>
    </row>
    <row r="23" spans="1:10" x14ac:dyDescent="0.25">
      <c r="A23" s="7" t="s">
        <v>25</v>
      </c>
      <c r="B23">
        <f>VLOOKUP(A23,fp,2,FALSE)</f>
        <v>11.75</v>
      </c>
      <c r="E23" s="7" t="s">
        <v>124</v>
      </c>
      <c r="F23">
        <f>VLOOKUP(E23,fp,2,FALSE)</f>
        <v>46.75</v>
      </c>
    </row>
    <row r="24" spans="1:10" x14ac:dyDescent="0.25">
      <c r="A24" s="7" t="s">
        <v>23</v>
      </c>
      <c r="B24">
        <f>VLOOKUP(A24,fp,2,FALSE)</f>
        <v>15.75</v>
      </c>
      <c r="E24" s="7" t="s">
        <v>76</v>
      </c>
      <c r="F24">
        <f>VLOOKUP(E24,fp,2,FALSE)</f>
        <v>31.5</v>
      </c>
    </row>
    <row r="25" spans="1:10" x14ac:dyDescent="0.25">
      <c r="A25" s="7" t="s">
        <v>10</v>
      </c>
      <c r="B25">
        <f>VLOOKUP(A25,fp,2,FALSE)</f>
        <v>18</v>
      </c>
      <c r="E25" s="7" t="s">
        <v>35</v>
      </c>
      <c r="F25">
        <f>VLOOKUP(E25,fp,2,FALSE)</f>
        <v>28</v>
      </c>
    </row>
    <row r="26" spans="1:10" x14ac:dyDescent="0.25">
      <c r="A26" s="7" t="s">
        <v>76</v>
      </c>
      <c r="B26">
        <f>VLOOKUP(A26,fp,2,FALSE)</f>
        <v>31.5</v>
      </c>
      <c r="E26" s="7" t="s">
        <v>15</v>
      </c>
      <c r="F26">
        <f>VLOOKUP(E26,fp,2,FALSE)</f>
        <v>35</v>
      </c>
    </row>
    <row r="27" spans="1:10" x14ac:dyDescent="0.25">
      <c r="A27" s="7" t="s">
        <v>15</v>
      </c>
      <c r="B27">
        <f>VLOOKUP(A27,fp,2,FALSE)</f>
        <v>35</v>
      </c>
      <c r="E27" s="7" t="s">
        <v>37</v>
      </c>
      <c r="F27">
        <f>VLOOKUP(E27,fp,2,FALSE)</f>
        <v>27.5</v>
      </c>
    </row>
    <row r="28" spans="1:10" x14ac:dyDescent="0.25">
      <c r="A28" s="10" t="s">
        <v>22</v>
      </c>
      <c r="B28">
        <f>VLOOKUP(A28,fp,2,FALSE)</f>
        <v>21</v>
      </c>
      <c r="E28" s="10" t="s">
        <v>22</v>
      </c>
      <c r="F28">
        <f>VLOOKUP(E28,fp,2,FALSE)</f>
        <v>21</v>
      </c>
    </row>
    <row r="29" spans="1:10" x14ac:dyDescent="0.25">
      <c r="B29">
        <f>SUM(B21:B28)</f>
        <v>237.75</v>
      </c>
      <c r="F29">
        <f>SUM(F21:F28)</f>
        <v>228.75</v>
      </c>
    </row>
    <row r="30" spans="1:10" x14ac:dyDescent="0.25">
      <c r="A30" s="7" t="s">
        <v>18</v>
      </c>
      <c r="B30">
        <f>VLOOKUP(A30,fp,2,FALSE)</f>
        <v>43</v>
      </c>
      <c r="E30" s="7" t="s">
        <v>10</v>
      </c>
      <c r="F30">
        <f>VLOOKUP(E30,fp,2,FALSE)</f>
        <v>18</v>
      </c>
    </row>
    <row r="31" spans="1:10" x14ac:dyDescent="0.25">
      <c r="A31" s="7" t="s">
        <v>21</v>
      </c>
      <c r="B31">
        <f>VLOOKUP(A31,fp,2,FALSE)</f>
        <v>46.25</v>
      </c>
      <c r="E31" s="7" t="s">
        <v>17</v>
      </c>
      <c r="F31">
        <f>VLOOKUP(E31,fp,2,FALSE)</f>
        <v>21</v>
      </c>
    </row>
    <row r="32" spans="1:10" x14ac:dyDescent="0.25">
      <c r="A32" s="7" t="s">
        <v>14</v>
      </c>
      <c r="B32">
        <f>VLOOKUP(A32,fp,2,FALSE)</f>
        <v>61.75</v>
      </c>
      <c r="E32" s="7" t="s">
        <v>124</v>
      </c>
      <c r="F32">
        <f>VLOOKUP(E32,fp,2,FALSE)</f>
        <v>46.75</v>
      </c>
    </row>
    <row r="33" spans="1:6" x14ac:dyDescent="0.25">
      <c r="A33" s="7" t="s">
        <v>25</v>
      </c>
      <c r="B33">
        <f>VLOOKUP(A33,fp,2,FALSE)</f>
        <v>11.75</v>
      </c>
      <c r="E33" s="7" t="s">
        <v>76</v>
      </c>
      <c r="F33">
        <f>VLOOKUP(E33,fp,2,FALSE)</f>
        <v>31.5</v>
      </c>
    </row>
    <row r="34" spans="1:6" x14ac:dyDescent="0.25">
      <c r="A34" s="7" t="s">
        <v>10</v>
      </c>
      <c r="B34">
        <f>VLOOKUP(A34,fp,2,FALSE)</f>
        <v>18</v>
      </c>
      <c r="E34" s="7" t="s">
        <v>35</v>
      </c>
      <c r="F34">
        <f>VLOOKUP(E34,fp,2,FALSE)</f>
        <v>28</v>
      </c>
    </row>
    <row r="35" spans="1:6" x14ac:dyDescent="0.25">
      <c r="A35" s="7" t="s">
        <v>17</v>
      </c>
      <c r="B35">
        <f>VLOOKUP(A35,fp,2,FALSE)</f>
        <v>21</v>
      </c>
      <c r="E35" s="7" t="s">
        <v>15</v>
      </c>
      <c r="F35">
        <f>VLOOKUP(E35,fp,2,FALSE)</f>
        <v>35</v>
      </c>
    </row>
    <row r="36" spans="1:6" x14ac:dyDescent="0.25">
      <c r="A36" s="7" t="s">
        <v>15</v>
      </c>
      <c r="B36">
        <f>VLOOKUP(A36,fp,2,FALSE)</f>
        <v>35</v>
      </c>
      <c r="E36" s="7" t="s">
        <v>37</v>
      </c>
      <c r="F36">
        <f>VLOOKUP(E36,fp,2,FALSE)</f>
        <v>27.5</v>
      </c>
    </row>
    <row r="37" spans="1:6" x14ac:dyDescent="0.25">
      <c r="A37" s="10" t="s">
        <v>22</v>
      </c>
      <c r="B37">
        <f>VLOOKUP(A37,fp,2,FALSE)</f>
        <v>21</v>
      </c>
      <c r="E37" s="10" t="s">
        <v>22</v>
      </c>
      <c r="F37">
        <f>VLOOKUP(E37,fp,2,FALSE)</f>
        <v>21</v>
      </c>
    </row>
    <row r="38" spans="1:6" x14ac:dyDescent="0.25">
      <c r="B38">
        <f>SUM(B30:B37)</f>
        <v>257.75</v>
      </c>
      <c r="F38">
        <f>SUM(F30:F37)</f>
        <v>228.75</v>
      </c>
    </row>
    <row r="39" spans="1:6" x14ac:dyDescent="0.25">
      <c r="A39" s="7" t="s">
        <v>14</v>
      </c>
      <c r="B39">
        <f>VLOOKUP(A39,fp,2,FALSE)</f>
        <v>61.75</v>
      </c>
    </row>
    <row r="40" spans="1:6" x14ac:dyDescent="0.25">
      <c r="A40" s="7" t="s">
        <v>16</v>
      </c>
      <c r="B40">
        <f>VLOOKUP(A40,fp,2,FALSE)</f>
        <v>20</v>
      </c>
    </row>
    <row r="41" spans="1:6" x14ac:dyDescent="0.25">
      <c r="A41" s="7" t="s">
        <v>25</v>
      </c>
      <c r="B41">
        <f>VLOOKUP(A41,fp,2,FALSE)</f>
        <v>11.75</v>
      </c>
    </row>
    <row r="42" spans="1:6" x14ac:dyDescent="0.25">
      <c r="A42" s="7" t="s">
        <v>10</v>
      </c>
      <c r="B42">
        <f>VLOOKUP(A42,fp,2,FALSE)</f>
        <v>18</v>
      </c>
    </row>
    <row r="43" spans="1:6" x14ac:dyDescent="0.25">
      <c r="A43" s="7" t="s">
        <v>76</v>
      </c>
      <c r="B43">
        <f>VLOOKUP(A43,fp,2,FALSE)</f>
        <v>31.5</v>
      </c>
    </row>
    <row r="44" spans="1:6" x14ac:dyDescent="0.25">
      <c r="A44" s="7" t="s">
        <v>15</v>
      </c>
      <c r="B44">
        <f>VLOOKUP(A44,fp,2,FALSE)</f>
        <v>35</v>
      </c>
    </row>
    <row r="45" spans="1:6" x14ac:dyDescent="0.25">
      <c r="A45" s="7" t="s">
        <v>13</v>
      </c>
      <c r="B45">
        <f>VLOOKUP(A45,fp,2,FALSE)</f>
        <v>43</v>
      </c>
    </row>
    <row r="46" spans="1:6" x14ac:dyDescent="0.25">
      <c r="A46" s="10" t="s">
        <v>22</v>
      </c>
      <c r="B46">
        <f>VLOOKUP(A46,fp,2,FALSE)</f>
        <v>21</v>
      </c>
    </row>
    <row r="47" spans="1:6" x14ac:dyDescent="0.25">
      <c r="B47">
        <f>SUM(B39:B46)</f>
        <v>242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80"/>
  <sheetViews>
    <sheetView showGridLines="0" workbookViewId="0">
      <selection activeCell="L10" sqref="L10"/>
    </sheetView>
  </sheetViews>
  <sheetFormatPr defaultRowHeight="15" x14ac:dyDescent="0.25"/>
  <cols>
    <col min="1" max="1" width="8.28515625" bestFit="1" customWidth="1"/>
    <col min="2" max="2" width="24.7109375" bestFit="1" customWidth="1"/>
    <col min="3" max="3" width="6.28515625" bestFit="1" customWidth="1"/>
    <col min="4" max="4" width="18.28515625" bestFit="1" customWidth="1"/>
    <col min="5" max="16384" width="9.140625" style="4"/>
  </cols>
  <sheetData>
    <row r="1" spans="1:4" x14ac:dyDescent="0.25">
      <c r="A1" t="s">
        <v>0</v>
      </c>
      <c r="B1" t="s">
        <v>1</v>
      </c>
      <c r="C1" t="s">
        <v>2</v>
      </c>
      <c r="D1" t="s">
        <v>84</v>
      </c>
    </row>
    <row r="2" spans="1:4" x14ac:dyDescent="0.25">
      <c r="A2" t="s">
        <v>3</v>
      </c>
      <c r="B2" t="s">
        <v>103</v>
      </c>
      <c r="C2">
        <v>7000</v>
      </c>
      <c r="D2">
        <v>37.599999999999994</v>
      </c>
    </row>
    <row r="3" spans="1:4" x14ac:dyDescent="0.25">
      <c r="A3" t="s">
        <v>5</v>
      </c>
      <c r="B3" t="s">
        <v>104</v>
      </c>
      <c r="C3">
        <v>4800</v>
      </c>
      <c r="D3">
        <v>18.799999999999997</v>
      </c>
    </row>
    <row r="4" spans="1:4" x14ac:dyDescent="0.25">
      <c r="A4" t="s">
        <v>7</v>
      </c>
      <c r="B4" t="s">
        <v>105</v>
      </c>
      <c r="C4">
        <v>5700</v>
      </c>
      <c r="D4">
        <v>25</v>
      </c>
    </row>
    <row r="5" spans="1:4" x14ac:dyDescent="0.25">
      <c r="A5" t="s">
        <v>6</v>
      </c>
      <c r="B5" t="s">
        <v>106</v>
      </c>
      <c r="C5">
        <v>4100</v>
      </c>
      <c r="D5">
        <v>19.2</v>
      </c>
    </row>
    <row r="6" spans="1:4" x14ac:dyDescent="0.25">
      <c r="A6" t="s">
        <v>5</v>
      </c>
      <c r="B6" t="s">
        <v>107</v>
      </c>
      <c r="C6">
        <v>4000</v>
      </c>
      <c r="D6">
        <v>5.8</v>
      </c>
    </row>
    <row r="7" spans="1:4" x14ac:dyDescent="0.25">
      <c r="A7" t="s">
        <v>7</v>
      </c>
      <c r="B7" t="s">
        <v>108</v>
      </c>
      <c r="C7">
        <v>3500</v>
      </c>
      <c r="D7">
        <v>17.600000000000001</v>
      </c>
    </row>
    <row r="8" spans="1:4" x14ac:dyDescent="0.25">
      <c r="A8" t="s">
        <v>9</v>
      </c>
      <c r="B8" t="s">
        <v>109</v>
      </c>
      <c r="C8">
        <v>4500</v>
      </c>
      <c r="D8">
        <v>17.8</v>
      </c>
    </row>
    <row r="9" spans="1:4" x14ac:dyDescent="0.25">
      <c r="A9" t="s">
        <v>5</v>
      </c>
      <c r="B9" t="s">
        <v>110</v>
      </c>
      <c r="C9">
        <v>5800</v>
      </c>
      <c r="D9">
        <v>24.6</v>
      </c>
    </row>
    <row r="10" spans="1:4" x14ac:dyDescent="0.25">
      <c r="A10" t="s">
        <v>3</v>
      </c>
      <c r="B10" t="s">
        <v>111</v>
      </c>
      <c r="C10">
        <v>3000</v>
      </c>
      <c r="D10">
        <v>2.1</v>
      </c>
    </row>
    <row r="11" spans="1:4" x14ac:dyDescent="0.25">
      <c r="A11" t="s">
        <v>9</v>
      </c>
      <c r="B11" t="s">
        <v>112</v>
      </c>
      <c r="C11">
        <v>3900</v>
      </c>
      <c r="D11">
        <v>11.1</v>
      </c>
    </row>
    <row r="12" spans="1:4" x14ac:dyDescent="0.25">
      <c r="A12" t="s">
        <v>7</v>
      </c>
      <c r="B12" t="s">
        <v>113</v>
      </c>
      <c r="C12">
        <v>3500</v>
      </c>
      <c r="D12">
        <v>7.3999999999999995</v>
      </c>
    </row>
    <row r="13" spans="1:4" x14ac:dyDescent="0.25">
      <c r="A13" t="s">
        <v>6</v>
      </c>
      <c r="B13" t="s">
        <v>114</v>
      </c>
      <c r="C13">
        <v>5900</v>
      </c>
      <c r="D13">
        <v>30.1</v>
      </c>
    </row>
    <row r="14" spans="1:4" x14ac:dyDescent="0.25">
      <c r="A14" t="s">
        <v>5</v>
      </c>
      <c r="B14" t="s">
        <v>38</v>
      </c>
      <c r="C14">
        <v>3200</v>
      </c>
      <c r="D14">
        <v>0</v>
      </c>
    </row>
    <row r="15" spans="1:4" x14ac:dyDescent="0.25">
      <c r="A15" t="s">
        <v>6</v>
      </c>
      <c r="B15" t="s">
        <v>29</v>
      </c>
      <c r="C15">
        <v>4000</v>
      </c>
      <c r="D15">
        <v>23.6</v>
      </c>
    </row>
    <row r="16" spans="1:4" x14ac:dyDescent="0.25">
      <c r="A16" t="s">
        <v>6</v>
      </c>
      <c r="B16" t="s">
        <v>91</v>
      </c>
      <c r="C16">
        <v>3100</v>
      </c>
      <c r="D16">
        <v>0</v>
      </c>
    </row>
    <row r="17" spans="1:4" x14ac:dyDescent="0.25">
      <c r="A17" t="s">
        <v>5</v>
      </c>
      <c r="B17" t="s">
        <v>92</v>
      </c>
      <c r="C17">
        <v>3500</v>
      </c>
      <c r="D17">
        <v>14.799999999999999</v>
      </c>
    </row>
    <row r="18" spans="1:4" x14ac:dyDescent="0.25">
      <c r="A18" t="s">
        <v>3</v>
      </c>
      <c r="B18" t="s">
        <v>23</v>
      </c>
      <c r="C18">
        <v>5000</v>
      </c>
      <c r="D18">
        <v>28</v>
      </c>
    </row>
    <row r="19" spans="1:4" x14ac:dyDescent="0.25">
      <c r="A19" t="s">
        <v>6</v>
      </c>
      <c r="B19" t="s">
        <v>45</v>
      </c>
      <c r="C19">
        <v>3000</v>
      </c>
      <c r="D19">
        <v>0</v>
      </c>
    </row>
    <row r="20" spans="1:4" x14ac:dyDescent="0.25">
      <c r="A20" t="s">
        <v>9</v>
      </c>
      <c r="B20" t="s">
        <v>10</v>
      </c>
      <c r="C20">
        <v>7300</v>
      </c>
      <c r="D20">
        <v>44.2</v>
      </c>
    </row>
    <row r="21" spans="1:4" x14ac:dyDescent="0.25">
      <c r="A21" t="s">
        <v>7</v>
      </c>
      <c r="B21" t="s">
        <v>93</v>
      </c>
      <c r="C21">
        <v>4100</v>
      </c>
      <c r="D21">
        <v>15.5</v>
      </c>
    </row>
    <row r="22" spans="1:4" x14ac:dyDescent="0.25">
      <c r="A22" t="s">
        <v>3</v>
      </c>
      <c r="B22" t="s">
        <v>28</v>
      </c>
      <c r="C22">
        <v>4400</v>
      </c>
      <c r="D22">
        <v>21.799999999999997</v>
      </c>
    </row>
    <row r="23" spans="1:4" x14ac:dyDescent="0.25">
      <c r="A23" t="s">
        <v>7</v>
      </c>
      <c r="B23" t="s">
        <v>12</v>
      </c>
      <c r="C23">
        <v>6700</v>
      </c>
      <c r="D23">
        <v>33.4</v>
      </c>
    </row>
    <row r="24" spans="1:4" x14ac:dyDescent="0.25">
      <c r="A24" t="s">
        <v>7</v>
      </c>
      <c r="B24" t="s">
        <v>43</v>
      </c>
      <c r="C24">
        <v>3000</v>
      </c>
      <c r="D24">
        <v>0.2</v>
      </c>
    </row>
    <row r="25" spans="1:4" x14ac:dyDescent="0.25">
      <c r="A25" t="s">
        <v>3</v>
      </c>
      <c r="B25" t="s">
        <v>34</v>
      </c>
      <c r="C25">
        <v>3400</v>
      </c>
      <c r="D25">
        <v>12.9</v>
      </c>
    </row>
    <row r="26" spans="1:4" x14ac:dyDescent="0.25">
      <c r="A26" t="s">
        <v>6</v>
      </c>
      <c r="B26" t="s">
        <v>30</v>
      </c>
      <c r="C26">
        <v>3000</v>
      </c>
      <c r="D26">
        <v>9.6999999999999993</v>
      </c>
    </row>
    <row r="27" spans="1:4" x14ac:dyDescent="0.25">
      <c r="A27" t="s">
        <v>5</v>
      </c>
      <c r="B27" t="s">
        <v>17</v>
      </c>
      <c r="C27">
        <v>6300</v>
      </c>
      <c r="D27">
        <v>36.5</v>
      </c>
    </row>
    <row r="28" spans="1:4" x14ac:dyDescent="0.25">
      <c r="A28" t="s">
        <v>6</v>
      </c>
      <c r="B28" t="s">
        <v>33</v>
      </c>
      <c r="C28">
        <v>3200</v>
      </c>
      <c r="D28">
        <v>16.7</v>
      </c>
    </row>
    <row r="29" spans="1:4" x14ac:dyDescent="0.25">
      <c r="A29" t="s">
        <v>6</v>
      </c>
      <c r="B29" t="s">
        <v>39</v>
      </c>
      <c r="C29">
        <v>3100</v>
      </c>
      <c r="D29">
        <v>12.6</v>
      </c>
    </row>
    <row r="30" spans="1:4" x14ac:dyDescent="0.25">
      <c r="A30" t="s">
        <v>7</v>
      </c>
      <c r="B30" t="s">
        <v>94</v>
      </c>
      <c r="C30">
        <v>3000</v>
      </c>
      <c r="D30">
        <v>0</v>
      </c>
    </row>
    <row r="31" spans="1:4" x14ac:dyDescent="0.25">
      <c r="A31" t="s">
        <v>7</v>
      </c>
      <c r="B31" t="s">
        <v>79</v>
      </c>
      <c r="C31">
        <v>3100</v>
      </c>
      <c r="D31">
        <v>9.6000000000000014</v>
      </c>
    </row>
    <row r="32" spans="1:4" x14ac:dyDescent="0.25">
      <c r="A32" t="s">
        <v>6</v>
      </c>
      <c r="B32" t="s">
        <v>26</v>
      </c>
      <c r="C32">
        <v>4100</v>
      </c>
      <c r="D32">
        <v>22.1</v>
      </c>
    </row>
    <row r="33" spans="1:4" x14ac:dyDescent="0.25">
      <c r="A33" t="s">
        <v>9</v>
      </c>
      <c r="B33" t="s">
        <v>19</v>
      </c>
      <c r="C33">
        <v>4500</v>
      </c>
      <c r="D33">
        <v>23.4</v>
      </c>
    </row>
    <row r="34" spans="1:4" x14ac:dyDescent="0.25">
      <c r="A34" t="s">
        <v>3</v>
      </c>
      <c r="B34" t="s">
        <v>4</v>
      </c>
      <c r="C34">
        <v>10100</v>
      </c>
      <c r="D34">
        <v>51.2</v>
      </c>
    </row>
    <row r="35" spans="1:4" x14ac:dyDescent="0.25">
      <c r="A35" t="s">
        <v>3</v>
      </c>
      <c r="B35" t="s">
        <v>80</v>
      </c>
      <c r="C35">
        <v>3000</v>
      </c>
      <c r="D35">
        <v>6.2</v>
      </c>
    </row>
    <row r="36" spans="1:4" x14ac:dyDescent="0.25">
      <c r="A36" t="s">
        <v>5</v>
      </c>
      <c r="B36" t="s">
        <v>46</v>
      </c>
      <c r="C36">
        <v>3000</v>
      </c>
      <c r="D36">
        <v>0</v>
      </c>
    </row>
    <row r="37" spans="1:4" x14ac:dyDescent="0.25">
      <c r="A37" t="s">
        <v>9</v>
      </c>
      <c r="B37" t="s">
        <v>40</v>
      </c>
      <c r="C37">
        <v>3000</v>
      </c>
      <c r="D37">
        <v>7.1</v>
      </c>
    </row>
    <row r="38" spans="1:4" x14ac:dyDescent="0.25">
      <c r="A38" t="s">
        <v>7</v>
      </c>
      <c r="B38" t="s">
        <v>8</v>
      </c>
      <c r="C38">
        <v>10400</v>
      </c>
      <c r="D38">
        <v>46.400000000000006</v>
      </c>
    </row>
    <row r="39" spans="1:4" x14ac:dyDescent="0.25">
      <c r="A39" t="s">
        <v>5</v>
      </c>
      <c r="B39" t="s">
        <v>20</v>
      </c>
      <c r="C39">
        <v>6200</v>
      </c>
      <c r="D39">
        <v>31.9</v>
      </c>
    </row>
    <row r="40" spans="1:4" x14ac:dyDescent="0.25">
      <c r="A40" t="s">
        <v>3</v>
      </c>
      <c r="B40" t="s">
        <v>41</v>
      </c>
      <c r="C40">
        <v>3000</v>
      </c>
      <c r="D40">
        <v>0</v>
      </c>
    </row>
    <row r="41" spans="1:4" x14ac:dyDescent="0.25">
      <c r="A41" t="s">
        <v>9</v>
      </c>
      <c r="B41" t="s">
        <v>27</v>
      </c>
      <c r="C41">
        <v>3800</v>
      </c>
      <c r="D41">
        <v>16.8</v>
      </c>
    </row>
    <row r="42" spans="1:4" x14ac:dyDescent="0.25">
      <c r="A42" t="s">
        <v>3</v>
      </c>
      <c r="B42" t="s">
        <v>115</v>
      </c>
      <c r="C42">
        <v>3900</v>
      </c>
      <c r="D42">
        <v>16.600000000000001</v>
      </c>
    </row>
    <row r="43" spans="1:4" x14ac:dyDescent="0.25">
      <c r="A43" t="s">
        <v>5</v>
      </c>
      <c r="B43" t="s">
        <v>116</v>
      </c>
      <c r="C43">
        <v>4000</v>
      </c>
      <c r="D43">
        <v>5.8</v>
      </c>
    </row>
    <row r="44" spans="1:4" x14ac:dyDescent="0.25">
      <c r="A44" t="s">
        <v>7</v>
      </c>
      <c r="B44" t="s">
        <v>117</v>
      </c>
      <c r="C44">
        <v>3100</v>
      </c>
      <c r="D44">
        <v>0</v>
      </c>
    </row>
    <row r="45" spans="1:4" x14ac:dyDescent="0.25">
      <c r="A45" t="s">
        <v>5</v>
      </c>
      <c r="B45" t="s">
        <v>118</v>
      </c>
      <c r="C45">
        <v>3300</v>
      </c>
      <c r="D45">
        <v>11.4</v>
      </c>
    </row>
    <row r="46" spans="1:4" x14ac:dyDescent="0.25">
      <c r="A46" t="s">
        <v>9</v>
      </c>
      <c r="B46" t="s">
        <v>119</v>
      </c>
      <c r="C46">
        <v>3200</v>
      </c>
      <c r="D46">
        <v>2.2000000000000002</v>
      </c>
    </row>
    <row r="47" spans="1:4" x14ac:dyDescent="0.25">
      <c r="A47" t="s">
        <v>7</v>
      </c>
      <c r="B47" t="s">
        <v>120</v>
      </c>
      <c r="C47">
        <v>6400</v>
      </c>
      <c r="D47">
        <v>33</v>
      </c>
    </row>
    <row r="48" spans="1:4" x14ac:dyDescent="0.25">
      <c r="A48" t="s">
        <v>3</v>
      </c>
      <c r="B48" t="s">
        <v>121</v>
      </c>
      <c r="C48">
        <v>5700</v>
      </c>
      <c r="D48">
        <v>27</v>
      </c>
    </row>
    <row r="49" spans="1:4" x14ac:dyDescent="0.25">
      <c r="A49" t="s">
        <v>5</v>
      </c>
      <c r="B49" t="s">
        <v>122</v>
      </c>
      <c r="C49">
        <v>3200</v>
      </c>
      <c r="D49">
        <v>2.6</v>
      </c>
    </row>
    <row r="50" spans="1:4" x14ac:dyDescent="0.25">
      <c r="A50" t="s">
        <v>6</v>
      </c>
      <c r="B50" t="s">
        <v>123</v>
      </c>
      <c r="C50">
        <v>3000</v>
      </c>
      <c r="D50">
        <v>3.2</v>
      </c>
    </row>
    <row r="51" spans="1:4" x14ac:dyDescent="0.25">
      <c r="A51" t="s">
        <v>9</v>
      </c>
      <c r="B51" t="s">
        <v>124</v>
      </c>
      <c r="C51">
        <v>7000</v>
      </c>
      <c r="D51">
        <v>40</v>
      </c>
    </row>
    <row r="52" spans="1:4" x14ac:dyDescent="0.25">
      <c r="A52" t="s">
        <v>7</v>
      </c>
      <c r="B52" t="s">
        <v>125</v>
      </c>
      <c r="C52">
        <v>3100</v>
      </c>
      <c r="D52">
        <v>9.6999999999999993</v>
      </c>
    </row>
    <row r="53" spans="1:4" x14ac:dyDescent="0.25">
      <c r="A53" t="s">
        <v>3</v>
      </c>
      <c r="B53" t="s">
        <v>126</v>
      </c>
      <c r="C53">
        <v>6200</v>
      </c>
      <c r="D53">
        <v>34.9</v>
      </c>
    </row>
    <row r="54" spans="1:4" x14ac:dyDescent="0.25">
      <c r="A54" t="s">
        <v>6</v>
      </c>
      <c r="B54" t="s">
        <v>127</v>
      </c>
      <c r="C54">
        <v>6600</v>
      </c>
      <c r="D54">
        <v>32</v>
      </c>
    </row>
    <row r="55" spans="1:4" x14ac:dyDescent="0.25">
      <c r="A55" t="s">
        <v>6</v>
      </c>
      <c r="B55" t="s">
        <v>78</v>
      </c>
      <c r="C55">
        <v>3700</v>
      </c>
      <c r="D55">
        <v>18.899999999999999</v>
      </c>
    </row>
    <row r="56" spans="1:4" x14ac:dyDescent="0.25">
      <c r="A56" t="s">
        <v>3</v>
      </c>
      <c r="B56" t="s">
        <v>81</v>
      </c>
      <c r="C56">
        <v>3000</v>
      </c>
      <c r="D56">
        <v>1.8</v>
      </c>
    </row>
    <row r="57" spans="1:4" x14ac:dyDescent="0.25">
      <c r="A57" t="s">
        <v>7</v>
      </c>
      <c r="B57" t="s">
        <v>77</v>
      </c>
      <c r="C57">
        <v>4800</v>
      </c>
      <c r="D57">
        <v>24.5</v>
      </c>
    </row>
    <row r="58" spans="1:4" x14ac:dyDescent="0.25">
      <c r="A58" t="s">
        <v>5</v>
      </c>
      <c r="B58" t="s">
        <v>75</v>
      </c>
      <c r="C58">
        <v>10500</v>
      </c>
      <c r="D58">
        <v>48.3</v>
      </c>
    </row>
    <row r="59" spans="1:4" x14ac:dyDescent="0.25">
      <c r="A59" t="s">
        <v>6</v>
      </c>
      <c r="B59" t="s">
        <v>95</v>
      </c>
      <c r="C59">
        <v>3000</v>
      </c>
      <c r="D59">
        <v>1.5</v>
      </c>
    </row>
    <row r="60" spans="1:4" x14ac:dyDescent="0.25">
      <c r="A60" t="s">
        <v>9</v>
      </c>
      <c r="B60" t="s">
        <v>32</v>
      </c>
      <c r="C60">
        <v>4700</v>
      </c>
      <c r="D60">
        <v>20.399999999999999</v>
      </c>
    </row>
    <row r="61" spans="1:4" x14ac:dyDescent="0.25">
      <c r="A61" t="s">
        <v>6</v>
      </c>
      <c r="B61" t="s">
        <v>96</v>
      </c>
      <c r="C61">
        <v>4000</v>
      </c>
      <c r="D61">
        <v>20.9</v>
      </c>
    </row>
    <row r="62" spans="1:4" x14ac:dyDescent="0.25">
      <c r="A62" t="s">
        <v>3</v>
      </c>
      <c r="B62" t="s">
        <v>83</v>
      </c>
      <c r="C62">
        <v>5000</v>
      </c>
      <c r="D62">
        <v>26.8</v>
      </c>
    </row>
    <row r="63" spans="1:4" x14ac:dyDescent="0.25">
      <c r="A63" t="s">
        <v>5</v>
      </c>
      <c r="B63" t="s">
        <v>36</v>
      </c>
      <c r="C63">
        <v>3000</v>
      </c>
      <c r="D63">
        <v>2.0999999999999996</v>
      </c>
    </row>
    <row r="64" spans="1:4" x14ac:dyDescent="0.25">
      <c r="A64" t="s">
        <v>7</v>
      </c>
      <c r="B64" t="s">
        <v>11</v>
      </c>
      <c r="C64">
        <v>8500</v>
      </c>
      <c r="D64">
        <v>27.5</v>
      </c>
    </row>
    <row r="65" spans="1:4" x14ac:dyDescent="0.25">
      <c r="A65" t="s">
        <v>3</v>
      </c>
      <c r="B65" t="s">
        <v>76</v>
      </c>
      <c r="C65">
        <v>6900</v>
      </c>
      <c r="D65">
        <v>39.5</v>
      </c>
    </row>
    <row r="66" spans="1:4" x14ac:dyDescent="0.25">
      <c r="A66" t="s">
        <v>7</v>
      </c>
      <c r="B66" t="s">
        <v>97</v>
      </c>
      <c r="C66">
        <v>3100</v>
      </c>
      <c r="D66">
        <v>0</v>
      </c>
    </row>
    <row r="67" spans="1:4" x14ac:dyDescent="0.25">
      <c r="A67" t="s">
        <v>6</v>
      </c>
      <c r="B67" t="s">
        <v>35</v>
      </c>
      <c r="C67">
        <v>5400</v>
      </c>
      <c r="D67">
        <v>30.3</v>
      </c>
    </row>
    <row r="68" spans="1:4" x14ac:dyDescent="0.25">
      <c r="A68" t="s">
        <v>3</v>
      </c>
      <c r="B68" t="s">
        <v>98</v>
      </c>
      <c r="C68">
        <v>3000</v>
      </c>
      <c r="D68">
        <v>1.5</v>
      </c>
    </row>
    <row r="69" spans="1:4" x14ac:dyDescent="0.25">
      <c r="A69" t="s">
        <v>5</v>
      </c>
      <c r="B69" t="s">
        <v>15</v>
      </c>
      <c r="C69">
        <v>7900</v>
      </c>
      <c r="D69">
        <v>45.9</v>
      </c>
    </row>
    <row r="70" spans="1:4" x14ac:dyDescent="0.25">
      <c r="A70" t="s">
        <v>6</v>
      </c>
      <c r="B70" t="s">
        <v>82</v>
      </c>
      <c r="C70">
        <v>3000</v>
      </c>
      <c r="D70">
        <v>1.7</v>
      </c>
    </row>
    <row r="71" spans="1:4" x14ac:dyDescent="0.25">
      <c r="A71" t="s">
        <v>3</v>
      </c>
      <c r="B71" t="s">
        <v>13</v>
      </c>
      <c r="C71">
        <v>7000</v>
      </c>
      <c r="D71">
        <v>37.200000000000003</v>
      </c>
    </row>
    <row r="72" spans="1:4" x14ac:dyDescent="0.25">
      <c r="A72" t="s">
        <v>9</v>
      </c>
      <c r="B72" t="s">
        <v>42</v>
      </c>
      <c r="C72">
        <v>3100</v>
      </c>
      <c r="D72">
        <v>9.6999999999999993</v>
      </c>
    </row>
    <row r="73" spans="1:4" x14ac:dyDescent="0.25">
      <c r="A73" t="s">
        <v>6</v>
      </c>
      <c r="B73" t="s">
        <v>44</v>
      </c>
      <c r="C73">
        <v>3100</v>
      </c>
      <c r="D73">
        <v>8.6</v>
      </c>
    </row>
    <row r="74" spans="1:4" x14ac:dyDescent="0.25">
      <c r="A74" t="s">
        <v>7</v>
      </c>
      <c r="B74" t="s">
        <v>99</v>
      </c>
      <c r="C74">
        <v>3200</v>
      </c>
      <c r="D74">
        <v>10</v>
      </c>
    </row>
    <row r="75" spans="1:4" x14ac:dyDescent="0.25">
      <c r="A75" t="s">
        <v>6</v>
      </c>
      <c r="B75" t="s">
        <v>37</v>
      </c>
      <c r="C75">
        <v>4900</v>
      </c>
      <c r="D75">
        <v>27</v>
      </c>
    </row>
    <row r="76" spans="1:4" x14ac:dyDescent="0.25">
      <c r="A76" t="s">
        <v>9</v>
      </c>
      <c r="B76" t="s">
        <v>24</v>
      </c>
      <c r="C76">
        <v>6200</v>
      </c>
      <c r="D76">
        <v>0</v>
      </c>
    </row>
    <row r="77" spans="1:4" x14ac:dyDescent="0.25">
      <c r="A77" t="s">
        <v>9</v>
      </c>
      <c r="B77" t="s">
        <v>100</v>
      </c>
      <c r="C77">
        <v>3000</v>
      </c>
      <c r="D77">
        <v>0</v>
      </c>
    </row>
    <row r="78" spans="1:4" x14ac:dyDescent="0.25">
      <c r="A78" t="s">
        <v>5</v>
      </c>
      <c r="B78" t="s">
        <v>31</v>
      </c>
      <c r="C78">
        <v>4600</v>
      </c>
      <c r="D78">
        <v>16.8</v>
      </c>
    </row>
    <row r="79" spans="1:4" x14ac:dyDescent="0.25">
      <c r="A79" t="s">
        <v>7</v>
      </c>
      <c r="B79" t="s">
        <v>22</v>
      </c>
      <c r="C79">
        <v>3900</v>
      </c>
      <c r="D79">
        <v>28.5</v>
      </c>
    </row>
    <row r="80" spans="1:4" x14ac:dyDescent="0.25">
      <c r="A80" t="s">
        <v>5</v>
      </c>
      <c r="B80" t="s">
        <v>101</v>
      </c>
      <c r="C80">
        <v>3100</v>
      </c>
      <c r="D80">
        <v>20.7</v>
      </c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Lineup Optimizer</vt:lpstr>
      <vt:lpstr>Team Outputs</vt:lpstr>
      <vt:lpstr>Sheet1</vt:lpstr>
      <vt:lpstr>Data Sheet</vt:lpstr>
      <vt:lpstr>fp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 Vicario, Robert (US - Cincinnati)</dc:creator>
  <cp:lastModifiedBy>barrick</cp:lastModifiedBy>
  <dcterms:created xsi:type="dcterms:W3CDTF">2015-01-05T15:44:48Z</dcterms:created>
  <dcterms:modified xsi:type="dcterms:W3CDTF">2015-12-09T16:41:21Z</dcterms:modified>
</cp:coreProperties>
</file>