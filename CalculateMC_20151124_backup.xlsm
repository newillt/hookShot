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DailyPlayers" sheetId="3" r:id="rId2"/>
    <sheet name="Sheet2" sheetId="2" r:id="rId3"/>
  </sheets>
  <definedNames>
    <definedName name="ExternalData_1" localSheetId="1">DailyPlayers!$A$1:$L$194</definedName>
    <definedName name="ExternalData_1" localSheetId="0">Sheet1!#REF!</definedName>
    <definedName name="ExternalData_2" localSheetId="1">DailyPlayers!$A$1:$L$194</definedName>
    <definedName name="ExternalData_3" localSheetId="1">DailyPlayers!$A$1:$L$165</definedName>
    <definedName name="ExternalData_4" localSheetId="1">DailyPlayers!$A$1:$L$165</definedName>
    <definedName name="ExternalData_5" localSheetId="1">DailyPlayers!$A$1:$L$194</definedName>
    <definedName name="ExternalData_6" localSheetId="1">DailyPlayers!$A$1:$L$194</definedName>
    <definedName name="ExternalData_7" localSheetId="1">DailyPlayers!$A$1:$L$165</definedName>
  </definedNames>
  <calcPr calcId="152511"/>
</workbook>
</file>

<file path=xl/calcChain.xml><?xml version="1.0" encoding="utf-8"?>
<calcChain xmlns="http://schemas.openxmlformats.org/spreadsheetml/2006/main">
  <c r="C13" i="1" l="1"/>
  <c r="C12" i="1"/>
  <c r="C9" i="1"/>
  <c r="C8" i="1"/>
  <c r="C6" i="1"/>
  <c r="C7" i="1"/>
  <c r="C10" i="1"/>
  <c r="C11" i="1"/>
  <c r="C14" i="1"/>
  <c r="D7" i="1" l="1"/>
  <c r="E7" i="1"/>
  <c r="F7" i="1"/>
  <c r="G7" i="1"/>
  <c r="H7" i="1"/>
  <c r="I7" i="1"/>
  <c r="J7" i="1"/>
  <c r="K7" i="1"/>
  <c r="D8" i="1"/>
  <c r="E8" i="1"/>
  <c r="F8" i="1"/>
  <c r="G8" i="1"/>
  <c r="H8" i="1"/>
  <c r="I8" i="1"/>
  <c r="J8" i="1"/>
  <c r="K8" i="1"/>
  <c r="D9" i="1"/>
  <c r="E9" i="1"/>
  <c r="F9" i="1"/>
  <c r="G9" i="1"/>
  <c r="H9" i="1"/>
  <c r="I9" i="1"/>
  <c r="J9" i="1"/>
  <c r="K9" i="1"/>
  <c r="D10" i="1"/>
  <c r="E10" i="1"/>
  <c r="F10" i="1"/>
  <c r="G10" i="1"/>
  <c r="H10" i="1"/>
  <c r="I10" i="1"/>
  <c r="J10" i="1"/>
  <c r="K10" i="1"/>
  <c r="D11" i="1"/>
  <c r="E11" i="1"/>
  <c r="F11" i="1"/>
  <c r="G11" i="1"/>
  <c r="H11" i="1"/>
  <c r="I11" i="1"/>
  <c r="J11" i="1"/>
  <c r="K11" i="1"/>
  <c r="D12" i="1"/>
  <c r="E12" i="1"/>
  <c r="F12" i="1"/>
  <c r="G12" i="1"/>
  <c r="H12" i="1"/>
  <c r="I12" i="1"/>
  <c r="J12" i="1"/>
  <c r="K12" i="1"/>
  <c r="D13" i="1"/>
  <c r="E13" i="1"/>
  <c r="F13" i="1"/>
  <c r="G13" i="1"/>
  <c r="H13" i="1"/>
  <c r="I13" i="1"/>
  <c r="J13" i="1"/>
  <c r="K13" i="1"/>
  <c r="D14" i="1"/>
  <c r="E14" i="1"/>
  <c r="F14" i="1"/>
  <c r="G14" i="1"/>
  <c r="H14" i="1"/>
  <c r="I14" i="1"/>
  <c r="J14" i="1"/>
  <c r="K14" i="1"/>
  <c r="K6" i="1"/>
  <c r="J6" i="1"/>
  <c r="I6" i="1"/>
  <c r="H6" i="1"/>
  <c r="G6" i="1"/>
  <c r="F6" i="1"/>
  <c r="E6" i="1"/>
  <c r="D6" i="1"/>
  <c r="L6" i="1" l="1"/>
  <c r="L13" i="1"/>
  <c r="L9" i="1"/>
  <c r="L14" i="1"/>
  <c r="L12" i="1"/>
  <c r="L11" i="1"/>
  <c r="L10" i="1"/>
  <c r="L8" i="1"/>
  <c r="L7" i="1"/>
  <c r="E15" i="1"/>
  <c r="I15" i="1"/>
  <c r="G15" i="1"/>
  <c r="K15" i="1"/>
  <c r="H15" i="1"/>
  <c r="F15" i="1"/>
  <c r="J15" i="1"/>
  <c r="C24" i="2"/>
  <c r="C25" i="2"/>
  <c r="C26" i="2"/>
  <c r="C27" i="2"/>
  <c r="C28" i="2"/>
  <c r="C29" i="2"/>
  <c r="C30" i="2"/>
  <c r="C31" i="2"/>
  <c r="C23" i="2"/>
  <c r="L15" i="1" l="1"/>
  <c r="B18" i="1" s="1"/>
</calcChain>
</file>

<file path=xl/connections.xml><?xml version="1.0" encoding="utf-8"?>
<connections xmlns="http://schemas.openxmlformats.org/spreadsheetml/2006/main">
  <connection id="1" name="20151123_1200_floor_ceil" type="6" refreshedVersion="5" background="1" saveData="1">
    <textPr prompt="0" codePage="437" sourceFile="C:\Users\tnewill\Dropbox\Business Ideas\NBAPredictor\DATA\preProcessed\20151123_1200_floor_ceil.csv" tab="0" comma="1">
      <textFields>
        <textField/>
      </textFields>
    </textPr>
  </connection>
  <connection id="2" name="20151123_1200_floor_ceil1" type="6" refreshedVersion="5" background="1" saveData="1">
    <textPr prompt="0" codePage="437" sourceFile="C:\Users\tnewill\Dropbox\Business Ideas\NBAPredictor\DATA\preProcessed\20151123_1200_floor_ceil.csv" tab="0" comma="1">
      <textFields>
        <textField/>
      </textFields>
    </textPr>
  </connection>
  <connection id="3" name="20151123_1200_floor_ceil2" type="6" refreshedVersion="5" background="1" saveData="1">
    <textPr prompt="0" codePage="437" sourceFile="C:\Users\tnewill\Dropbox\Business Ideas\NBAPredictor\DATA\preProcessed\20151123_1200_floor_ceil.csv" tab="0" comma="1">
      <textFields>
        <textField/>
      </textFields>
    </textPr>
  </connection>
  <connection id="4" name="20151123_1200_floor_ceil3" type="6" refreshedVersion="5" background="1" saveData="1">
    <textPr prompt="0" codePage="437" sourceFile="C:\Users\tnewill\Dropbox\Business Ideas\NBAPredictor\DATA\preProcessed\20151123_1200_floor_ceil.csv" tab="0" comma="1">
      <textFields>
        <textField/>
      </textFields>
    </textPr>
  </connection>
  <connection id="5" name="20151124_1200_floor_ceil" type="6" refreshedVersion="5" background="1" saveData="1">
    <textPr prompt="0" codePage="437" sourceFile="C:\Users\barrick\Dropbox\NBAPredictor\DATA\preProcessed\20151124_1200_floor_ceil.csv" tab="0" comma="1" delimiter="(">
      <textFields>
        <textField/>
      </textFields>
    </textPr>
  </connection>
  <connection id="6" name="20151124_1200_floor_ceil1" type="6" refreshedVersion="5" background="1" saveData="1">
    <textPr prompt="0" codePage="437" sourceFile="C:\Users\tnewill\Dropbox\Business Ideas\NBAPredictor\DATA\preProcessed\20151124_1200_floor_ceil.csv" tab="0" comma="1">
      <textFields>
        <textField/>
      </textFields>
    </textPr>
  </connection>
  <connection id="7" name="20151124_1200_floor_ceil2" type="6" refreshedVersion="5" background="1" saveData="1">
    <textPr prompt="0" codePage="437" sourceFile="C:\Users\tnewill\Dropbox\Business Ideas\NBAPredictor\DATA\preProcessed\20151124_1200_floor_ceil.csv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<sst xmlns="http://schemas.openxmlformats.org/spreadsheetml/2006/main" count="850" uniqueCount="274">
  <si>
    <t>Select Today's Floor and Ceiling Data Sheet</t>
  </si>
  <si>
    <t>Specify The Lineup</t>
  </si>
  <si>
    <t>Player Name</t>
  </si>
  <si>
    <t>Spot #</t>
  </si>
  <si>
    <t>Calculate MonteCarlo</t>
  </si>
  <si>
    <t>Low Cutoff:</t>
  </si>
  <si>
    <t>Experiments:</t>
  </si>
  <si>
    <t>-</t>
  </si>
  <si>
    <t>Tyson_Chandler</t>
  </si>
  <si>
    <t>Ish_Smith</t>
  </si>
  <si>
    <t>Kyle_Lowry</t>
  </si>
  <si>
    <t>Rodney_Hood</t>
  </si>
  <si>
    <t>Evan_Fournier</t>
  </si>
  <si>
    <t>Derrick_Favors</t>
  </si>
  <si>
    <t>Paul_Millsap</t>
  </si>
  <si>
    <t>Jae_Crowder</t>
  </si>
  <si>
    <t>Kawhi_Leonard</t>
  </si>
  <si>
    <t>pos</t>
  </si>
  <si>
    <t>name</t>
  </si>
  <si>
    <t>gameDate</t>
  </si>
  <si>
    <t>team</t>
  </si>
  <si>
    <t>opp</t>
  </si>
  <si>
    <t>salary</t>
  </si>
  <si>
    <t>fppg</t>
  </si>
  <si>
    <t>fpmax</t>
  </si>
  <si>
    <t>fpmin</t>
  </si>
  <si>
    <t>floor</t>
  </si>
  <si>
    <t>ceil</t>
  </si>
  <si>
    <t>average</t>
  </si>
  <si>
    <t>PG</t>
  </si>
  <si>
    <t>C</t>
  </si>
  <si>
    <t>SF</t>
  </si>
  <si>
    <t>SG</t>
  </si>
  <si>
    <t>PF</t>
  </si>
  <si>
    <t>SAC</t>
  </si>
  <si>
    <t>MIA</t>
  </si>
  <si>
    <t>CHA</t>
  </si>
  <si>
    <t>DET</t>
  </si>
  <si>
    <t>Stanley Johnson</t>
  </si>
  <si>
    <t>Steve Blake</t>
  </si>
  <si>
    <t>Spencer Dinwiddie</t>
  </si>
  <si>
    <t>ORL</t>
  </si>
  <si>
    <t>CLE</t>
  </si>
  <si>
    <t>MIN</t>
  </si>
  <si>
    <t>PHI</t>
  </si>
  <si>
    <t>UTA</t>
  </si>
  <si>
    <t>OKC</t>
  </si>
  <si>
    <t>PHO</t>
  </si>
  <si>
    <t>SAS</t>
  </si>
  <si>
    <t>NYK</t>
  </si>
  <si>
    <t>MIL</t>
  </si>
  <si>
    <t>Sonny Weems</t>
  </si>
  <si>
    <t>Spencer Hawes</t>
  </si>
  <si>
    <t>Steve Novak</t>
  </si>
  <si>
    <t>Steven Adams</t>
  </si>
  <si>
    <t>T.J. McConnell</t>
  </si>
  <si>
    <t>T.J. Warren</t>
  </si>
  <si>
    <t>Tayshaun Prince</t>
  </si>
  <si>
    <t>Tibor Pleiss</t>
  </si>
  <si>
    <t>Tim Duncan</t>
  </si>
  <si>
    <t>Timofey Mozgov</t>
  </si>
  <si>
    <t>Tobias Harris</t>
  </si>
  <si>
    <t>Tony Parker</t>
  </si>
  <si>
    <t>Trevor Booker</t>
  </si>
  <si>
    <t>Trey Burke</t>
  </si>
  <si>
    <t>Trey Lyles</t>
  </si>
  <si>
    <t>Tristan Thompson</t>
  </si>
  <si>
    <t>Troy Daniels</t>
  </si>
  <si>
    <t>Tyler Ennis</t>
  </si>
  <si>
    <t>Tyler Hansbrough</t>
  </si>
  <si>
    <t>Tyler Johnson</t>
  </si>
  <si>
    <t>Tyson Chandler</t>
  </si>
  <si>
    <t>Tyus Jones</t>
  </si>
  <si>
    <t>Udonis Haslem</t>
  </si>
  <si>
    <t>Victor Oladipo</t>
  </si>
  <si>
    <t>Willie Cauley-Stein</t>
  </si>
  <si>
    <t>Zach LaVine</t>
  </si>
  <si>
    <t>Sigma6</t>
  </si>
  <si>
    <t>Success:</t>
  </si>
  <si>
    <t>Jimmy</t>
  </si>
  <si>
    <t>Butler</t>
  </si>
  <si>
    <t>Blake</t>
  </si>
  <si>
    <t>Griffin</t>
  </si>
  <si>
    <t>Marc</t>
  </si>
  <si>
    <t>Gasol</t>
  </si>
  <si>
    <t>Monta</t>
  </si>
  <si>
    <t>Ellis</t>
  </si>
  <si>
    <t>George</t>
  </si>
  <si>
    <t>Hill</t>
  </si>
  <si>
    <t>Otto</t>
  </si>
  <si>
    <t>Porter</t>
  </si>
  <si>
    <t>Al-Farouq</t>
  </si>
  <si>
    <t>Aminu</t>
  </si>
  <si>
    <t>Jordan</t>
  </si>
  <si>
    <t>Clarkson</t>
  </si>
  <si>
    <t>Darrell</t>
  </si>
  <si>
    <t>Arthur</t>
  </si>
  <si>
    <t>Jimmy Butler</t>
  </si>
  <si>
    <t>Blake Griffin</t>
  </si>
  <si>
    <t>Marc Gasol</t>
  </si>
  <si>
    <t>Monta Ellis</t>
  </si>
  <si>
    <t>George Hill</t>
  </si>
  <si>
    <t>Otto Porter</t>
  </si>
  <si>
    <t>Al-Farouq Aminu</t>
  </si>
  <si>
    <t>Jordan Clarkson</t>
  </si>
  <si>
    <t>Darrell Arthur</t>
  </si>
  <si>
    <t>Aaron Brooks</t>
  </si>
  <si>
    <t>CHI</t>
  </si>
  <si>
    <t>POR</t>
  </si>
  <si>
    <t>Al Horford</t>
  </si>
  <si>
    <t>ATL</t>
  </si>
  <si>
    <t>BOS</t>
  </si>
  <si>
    <t>Allen Crabbe</t>
  </si>
  <si>
    <t>Amir Johnson</t>
  </si>
  <si>
    <t>Andre Iguodala</t>
  </si>
  <si>
    <t>GSW</t>
  </si>
  <si>
    <t>LAL</t>
  </si>
  <si>
    <t>Andrew Bogut</t>
  </si>
  <si>
    <t>Anthony Brown</t>
  </si>
  <si>
    <t>Austin Rivers</t>
  </si>
  <si>
    <t>LAC</t>
  </si>
  <si>
    <t>DEN</t>
  </si>
  <si>
    <t>Avery Bradley</t>
  </si>
  <si>
    <t>Bobby Portis</t>
  </si>
  <si>
    <t>Bradley Beal</t>
  </si>
  <si>
    <t>WAS</t>
  </si>
  <si>
    <t>IND</t>
  </si>
  <si>
    <t>Brandan Wright</t>
  </si>
  <si>
    <t>MEM</t>
  </si>
  <si>
    <t>DAL</t>
  </si>
  <si>
    <t>Brandon Bass</t>
  </si>
  <si>
    <t>Brandon Rush</t>
  </si>
  <si>
    <t>C.J. McCollum</t>
  </si>
  <si>
    <t>C.J. Miles</t>
  </si>
  <si>
    <t>Cameron Bairstow</t>
  </si>
  <si>
    <t>Chandler Parsons</t>
  </si>
  <si>
    <t>Charlie Villanueva</t>
  </si>
  <si>
    <t>Chase Budinger</t>
  </si>
  <si>
    <t>Chris Kaman</t>
  </si>
  <si>
    <t>Chris Paul</t>
  </si>
  <si>
    <t>Cliff Alexander</t>
  </si>
  <si>
    <t>Cole Aldrich</t>
  </si>
  <si>
    <t>Courtney Lee</t>
  </si>
  <si>
    <t>D'Angelo Russell</t>
  </si>
  <si>
    <t>Damian Lillard</t>
  </si>
  <si>
    <t>Danilo Gallinari</t>
  </si>
  <si>
    <t>David Lee</t>
  </si>
  <si>
    <t>DeAndre Jordan</t>
  </si>
  <si>
    <t>DeJuan Blair</t>
  </si>
  <si>
    <t>Dennis Schroder</t>
  </si>
  <si>
    <t>Deron Williams</t>
  </si>
  <si>
    <t>Derrick Rose</t>
  </si>
  <si>
    <t>Devin Harris</t>
  </si>
  <si>
    <t>Dirk Nowitzki</t>
  </si>
  <si>
    <t>Doug McDermott</t>
  </si>
  <si>
    <t>Draymond Green</t>
  </si>
  <si>
    <t>Drew Gooden</t>
  </si>
  <si>
    <t>Dwight Powell</t>
  </si>
  <si>
    <t>E'Twaun Moore</t>
  </si>
  <si>
    <t>Ed Davis</t>
  </si>
  <si>
    <t>Emmanuel Mudiay</t>
  </si>
  <si>
    <t>Evan Turner</t>
  </si>
  <si>
    <t>Festus Ezeli</t>
  </si>
  <si>
    <t>Garrett Temple</t>
  </si>
  <si>
    <t>Gary Harris</t>
  </si>
  <si>
    <t>Gary Neal</t>
  </si>
  <si>
    <t>Gerald Henderson</t>
  </si>
  <si>
    <t>Harrison Barnes</t>
  </si>
  <si>
    <t>Ian Clark</t>
  </si>
  <si>
    <t>Ian Mahinmi</t>
  </si>
  <si>
    <t>Isaiah Thomas</t>
  </si>
  <si>
    <t>J.J. Barea</t>
  </si>
  <si>
    <t>J.J. Hickson</t>
  </si>
  <si>
    <t>J.J. Redick</t>
  </si>
  <si>
    <t>Jae Crowder</t>
  </si>
  <si>
    <t>Jamal Crawford</t>
  </si>
  <si>
    <t>Jameer Nelson</t>
  </si>
  <si>
    <t>James Ennis</t>
  </si>
  <si>
    <t>James Michael McAdoo</t>
  </si>
  <si>
    <t>JaMychal Green</t>
  </si>
  <si>
    <t>Jared Dudley</t>
  </si>
  <si>
    <t>Jared Sullinger</t>
  </si>
  <si>
    <t>Jason Thompson</t>
  </si>
  <si>
    <t>JaVale McGee</t>
  </si>
  <si>
    <t>Jeff Green</t>
  </si>
  <si>
    <t>Jeff Teague</t>
  </si>
  <si>
    <t>Jeremy Evans</t>
  </si>
  <si>
    <t>Joakim Noah</t>
  </si>
  <si>
    <t>Joffrey Lauvergne</t>
  </si>
  <si>
    <t>John Jenkins</t>
  </si>
  <si>
    <t>John Wall</t>
  </si>
  <si>
    <t>Jonas Jerebko</t>
  </si>
  <si>
    <t>Jordan Adams</t>
  </si>
  <si>
    <t>Jordan Hill</t>
  </si>
  <si>
    <t>Jordan Mickey</t>
  </si>
  <si>
    <t>Joseph Young</t>
  </si>
  <si>
    <t>Josh Smith</t>
  </si>
  <si>
    <t>Julius Randle</t>
  </si>
  <si>
    <t>Justin Anderson</t>
  </si>
  <si>
    <t>Justin Holiday</t>
  </si>
  <si>
    <t>Kelly Olynyk</t>
  </si>
  <si>
    <t>Kelly Oubre</t>
  </si>
  <si>
    <t>Kenneth Faried</t>
  </si>
  <si>
    <t>Kent Bazemore</t>
  </si>
  <si>
    <t>Kirk Hinrich</t>
  </si>
  <si>
    <t>Klay Thompson</t>
  </si>
  <si>
    <t>Kobe Bryant</t>
  </si>
  <si>
    <t>Kostas Papanikolaou</t>
  </si>
  <si>
    <t>Kris Humphries</t>
  </si>
  <si>
    <t>Kyle Korver</t>
  </si>
  <si>
    <t>Lamar Patterson</t>
  </si>
  <si>
    <t>Lance Stephenson</t>
  </si>
  <si>
    <t>Larry Nance</t>
  </si>
  <si>
    <t>Lavoy Allen</t>
  </si>
  <si>
    <t>Leandro Barbosa</t>
  </si>
  <si>
    <t>Louis Williams</t>
  </si>
  <si>
    <t>Luc Richard Mbah a Moute</t>
  </si>
  <si>
    <t>Luis Montero</t>
  </si>
  <si>
    <t>Marcelo Huertas</t>
  </si>
  <si>
    <t>Marcin Gortat</t>
  </si>
  <si>
    <t>Marcus Smart</t>
  </si>
  <si>
    <t>Mario Chalmers</t>
  </si>
  <si>
    <t>Marreese Speights</t>
  </si>
  <si>
    <t>Mason Plumlee</t>
  </si>
  <si>
    <t>Matt Barnes</t>
  </si>
  <si>
    <t>Metta World Peace</t>
  </si>
  <si>
    <t>Meyers Leonard</t>
  </si>
  <si>
    <t>Mike Conley</t>
  </si>
  <si>
    <t>Mike Miller</t>
  </si>
  <si>
    <t>Mike Muscala</t>
  </si>
  <si>
    <t>Mike Scott</t>
  </si>
  <si>
    <t>Moe Harkless</t>
  </si>
  <si>
    <t>Myles Turner</t>
  </si>
  <si>
    <t>Nene Hilario</t>
  </si>
  <si>
    <t>Nick Young</t>
  </si>
  <si>
    <t>Nikola Jokic</t>
  </si>
  <si>
    <t>Nikola Mirotic</t>
  </si>
  <si>
    <t>Noah Vonleh</t>
  </si>
  <si>
    <t>Pablo Prigioni</t>
  </si>
  <si>
    <t>Pat Connaughton</t>
  </si>
  <si>
    <t>Pau Gasol</t>
  </si>
  <si>
    <t>Paul George</t>
  </si>
  <si>
    <t>Paul Millsap</t>
  </si>
  <si>
    <t>Paul Pierce</t>
  </si>
  <si>
    <t>Ramon Sessions</t>
  </si>
  <si>
    <t>Randy Foye</t>
  </si>
  <si>
    <t>Raymond Felton</t>
  </si>
  <si>
    <t>Robert Sacre</t>
  </si>
  <si>
    <t>Rodney Stuckey</t>
  </si>
  <si>
    <t>Roy Hibbert</t>
  </si>
  <si>
    <t>Russ Smith</t>
  </si>
  <si>
    <t>Salah Mejri</t>
  </si>
  <si>
    <t>Shaun Livingston</t>
  </si>
  <si>
    <t>Shayne Whittington</t>
  </si>
  <si>
    <t>Shelvin Mack</t>
  </si>
  <si>
    <t>Solomon Hill</t>
  </si>
  <si>
    <t>Stephen Curry</t>
  </si>
  <si>
    <t>Taj Gibson</t>
  </si>
  <si>
    <t>Tarik Black</t>
  </si>
  <si>
    <t>Terry Rozier</t>
  </si>
  <si>
    <t>Thabo Sefolosha</t>
  </si>
  <si>
    <t>Tiago Splitter</t>
  </si>
  <si>
    <t>Tim Frazier</t>
  </si>
  <si>
    <t>Tony Allen</t>
  </si>
  <si>
    <t>Tony Snell</t>
  </si>
  <si>
    <t>Tyler Zeller</t>
  </si>
  <si>
    <t>Vince Carter</t>
  </si>
  <si>
    <t>Walter Tavares</t>
  </si>
  <si>
    <t>Wesley Johnson</t>
  </si>
  <si>
    <t>Wesley Matthews</t>
  </si>
  <si>
    <t>Will Barton</t>
  </si>
  <si>
    <t>Zach Randolph</t>
  </si>
  <si>
    <t>Zaza Pachulia</t>
  </si>
  <si>
    <t>20151124_1200_floor_ceil.csv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</si>
</sst>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7" formatCode="0.00000%"/>
  </numFmts>
  <fonts count="7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ourier New"/>
      <family val="3"/>
    </font>
    <font>
      <sz val="2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Alignment="1"/>
    <xf numFmtId="0" fontId="0" fillId="0" borderId="0" xfId="0" applyAlignment="1">
      <alignment horizontal="right" vertical="center"/>
    </xf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3" borderId="0" xfId="0" applyFill="1"/>
    <xf numFmtId="0" fontId="2" fillId="2" borderId="0" xfId="0" applyFont="1" applyFill="1" applyAlignment="1">
      <alignment horizontal="center"/>
    </xf>
    <xf numFmtId="14" fontId="0" fillId="0" borderId="0" xfId="0" applyNumberFormat="1"/>
    <xf numFmtId="0" fontId="4" fillId="2" borderId="0" xfId="0" applyFont="1" applyFill="1"/>
    <xf numFmtId="0" fontId="5" fillId="2" borderId="0" xfId="0" applyFont="1" applyFill="1"/>
    <xf numFmtId="164" fontId="0" fillId="0" borderId="0" xfId="0" applyNumberFormat="1"/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167" fontId="6" fillId="0" borderId="0" xfId="1" applyNumberFormat="1" applyFont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19</xdr:row>
      <xdr:rowOff>28576</xdr:rowOff>
    </xdr:from>
    <xdr:to>
      <xdr:col>1</xdr:col>
      <xdr:colOff>1647825</xdr:colOff>
      <xdr:row>20</xdr:row>
      <xdr:rowOff>171450</xdr:rowOff>
    </xdr:to>
    <xdr:sp macro="[0]!Macro1" textlink="">
      <xdr:nvSpPr>
        <xdr:cNvPr id="2" name="Rectangle 1"/>
        <xdr:cNvSpPr/>
      </xdr:nvSpPr>
      <xdr:spPr>
        <a:xfrm>
          <a:off x="47626" y="3762376"/>
          <a:ext cx="2790824" cy="333374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CalculateMC</a:t>
          </a:r>
        </a:p>
      </xdr:txBody>
    </xdr:sp>
    <xdr:clientData/>
  </xdr:twoCellAnchor>
  <xdr:twoCellAnchor>
    <xdr:from>
      <xdr:col>4</xdr:col>
      <xdr:colOff>28575</xdr:colOff>
      <xdr:row>1</xdr:row>
      <xdr:rowOff>28576</xdr:rowOff>
    </xdr:from>
    <xdr:to>
      <xdr:col>10</xdr:col>
      <xdr:colOff>438150</xdr:colOff>
      <xdr:row>2</xdr:row>
      <xdr:rowOff>1</xdr:rowOff>
    </xdr:to>
    <xdr:sp macro="[0]!doFileQuery" textlink="">
      <xdr:nvSpPr>
        <xdr:cNvPr id="3" name="Rectangle 2"/>
        <xdr:cNvSpPr/>
      </xdr:nvSpPr>
      <xdr:spPr>
        <a:xfrm>
          <a:off x="4133850" y="219076"/>
          <a:ext cx="4067175" cy="171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ExternalData_7" growShrinkType="overwriteClear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6" growShrinkType="overwriteClear" connectionId="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5" growShrinkType="overwriteClear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4" growShrinkType="overwriteClear" connectionId="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3" growShrinkType="overwriteClear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2" growShrinkType="overwriteClear" connectionId="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1" growShrinkType="overwriteClear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1"/>
  <sheetViews>
    <sheetView tabSelected="1" workbookViewId="0">
      <selection activeCell="C16" sqref="C16"/>
    </sheetView>
  </sheetViews>
  <sheetFormatPr defaultRowHeight="15" x14ac:dyDescent="0.25"/>
  <cols>
    <col min="1" max="1" width="17.85546875" bestFit="1" customWidth="1"/>
    <col min="2" max="2" width="25.42578125" customWidth="1"/>
  </cols>
  <sheetData>
    <row r="1" spans="1:12" x14ac:dyDescent="0.25">
      <c r="A1" s="17" t="s">
        <v>0</v>
      </c>
      <c r="B1" s="17"/>
      <c r="C1" s="17"/>
      <c r="D1" s="17"/>
    </row>
    <row r="2" spans="1:12" ht="15.75" thickBot="1" x14ac:dyDescent="0.3">
      <c r="A2" s="18" t="s">
        <v>273</v>
      </c>
      <c r="B2" s="18"/>
      <c r="C2" s="18"/>
      <c r="D2" s="18"/>
      <c r="E2" s="1"/>
      <c r="F2" s="1"/>
    </row>
    <row r="4" spans="1:12" ht="21" x14ac:dyDescent="0.35">
      <c r="A4" s="19" t="s">
        <v>1</v>
      </c>
      <c r="B4" s="19"/>
      <c r="C4" s="19"/>
      <c r="D4" s="19"/>
    </row>
    <row r="5" spans="1:12" x14ac:dyDescent="0.25">
      <c r="A5" s="11" t="s">
        <v>3</v>
      </c>
      <c r="B5" s="12" t="s">
        <v>2</v>
      </c>
      <c r="C5" s="11" t="s">
        <v>20</v>
      </c>
      <c r="D5" s="11" t="s">
        <v>21</v>
      </c>
      <c r="E5" s="11" t="s">
        <v>22</v>
      </c>
      <c r="F5" s="11" t="s">
        <v>23</v>
      </c>
      <c r="G5" s="11" t="s">
        <v>24</v>
      </c>
      <c r="H5" s="11" t="s">
        <v>25</v>
      </c>
      <c r="I5" s="11" t="s">
        <v>26</v>
      </c>
      <c r="J5" s="11" t="s">
        <v>27</v>
      </c>
      <c r="K5" s="11" t="s">
        <v>28</v>
      </c>
      <c r="L5" s="11" t="s">
        <v>77</v>
      </c>
    </row>
    <row r="6" spans="1:12" x14ac:dyDescent="0.25">
      <c r="A6">
        <v>1</v>
      </c>
      <c r="B6" t="s">
        <v>97</v>
      </c>
      <c r="C6" t="str">
        <f>VLOOKUP($B6,DailyPlayers!$B$2:$L$1000,3,FALSE)</f>
        <v>CHI</v>
      </c>
      <c r="D6" t="str">
        <f>VLOOKUP($B6,DailyPlayers!$B$2:$L$1000,4,FALSE)</f>
        <v>POR</v>
      </c>
      <c r="E6">
        <f>VLOOKUP($B6,DailyPlayers!$B$2:$L$1000,5,FALSE)</f>
        <v>8400</v>
      </c>
      <c r="F6">
        <f>VLOOKUP($B6,DailyPlayers!$B$2:$L$1000,6,FALSE)</f>
        <v>36.43</v>
      </c>
      <c r="G6">
        <f>VLOOKUP($B6,DailyPlayers!$B$2:$L$1000,7,FALSE)</f>
        <v>54.3</v>
      </c>
      <c r="H6">
        <f>VLOOKUP($B6,DailyPlayers!$B$2:$L$1000,8,FALSE)</f>
        <v>20.7</v>
      </c>
      <c r="I6">
        <f>VLOOKUP($B6,DailyPlayers!$B$2:$L$1000,9,FALSE)</f>
        <v>27.85</v>
      </c>
      <c r="J6">
        <f>VLOOKUP($B6,DailyPlayers!$B$2:$L$1000,10,FALSE)</f>
        <v>45.01</v>
      </c>
      <c r="K6">
        <f>VLOOKUP($B6,DailyPlayers!$B$2:$L$1000,11,FALSE)</f>
        <v>36.43</v>
      </c>
      <c r="L6">
        <f>(G6-H6)/6</f>
        <v>5.5999999999999988</v>
      </c>
    </row>
    <row r="7" spans="1:12" x14ac:dyDescent="0.25">
      <c r="A7">
        <v>2</v>
      </c>
      <c r="B7" t="s">
        <v>98</v>
      </c>
      <c r="C7" t="str">
        <f>VLOOKUP($B7,DailyPlayers!$B$2:$L$1000,3,FALSE)</f>
        <v>LAC</v>
      </c>
      <c r="D7" t="str">
        <f>VLOOKUP($B7,DailyPlayers!$B$2:$L$1000,4,FALSE)</f>
        <v>DEN</v>
      </c>
      <c r="E7">
        <f>VLOOKUP($B7,DailyPlayers!$B$2:$L$1000,5,FALSE)</f>
        <v>9200</v>
      </c>
      <c r="F7">
        <f>VLOOKUP($B7,DailyPlayers!$B$2:$L$1000,6,FALSE)</f>
        <v>42.1</v>
      </c>
      <c r="G7">
        <f>VLOOKUP($B7,DailyPlayers!$B$2:$L$1000,7,FALSE)</f>
        <v>61.1</v>
      </c>
      <c r="H7">
        <f>VLOOKUP($B7,DailyPlayers!$B$2:$L$1000,8,FALSE)</f>
        <v>20.2</v>
      </c>
      <c r="I7">
        <f>VLOOKUP($B7,DailyPlayers!$B$2:$L$1000,9,FALSE)</f>
        <v>30.59</v>
      </c>
      <c r="J7">
        <f>VLOOKUP($B7,DailyPlayers!$B$2:$L$1000,10,FALSE)</f>
        <v>53.61</v>
      </c>
      <c r="K7">
        <f>VLOOKUP($B7,DailyPlayers!$B$2:$L$1000,11,FALSE)</f>
        <v>42.1</v>
      </c>
      <c r="L7">
        <f t="shared" ref="L7:L14" si="0">(G7-H7)/6</f>
        <v>6.8166666666666673</v>
      </c>
    </row>
    <row r="8" spans="1:12" x14ac:dyDescent="0.25">
      <c r="A8">
        <v>3</v>
      </c>
      <c r="B8" t="s">
        <v>99</v>
      </c>
      <c r="C8" t="str">
        <f>VLOOKUP($B8,DailyPlayers!$B$2:$L$1000,3,FALSE)</f>
        <v>MEM</v>
      </c>
      <c r="D8" t="str">
        <f>VLOOKUP($B8,DailyPlayers!$B$2:$L$1000,4,FALSE)</f>
        <v>DAL</v>
      </c>
      <c r="E8">
        <f>VLOOKUP($B8,DailyPlayers!$B$2:$L$1000,5,FALSE)</f>
        <v>7800</v>
      </c>
      <c r="F8">
        <f>VLOOKUP($B8,DailyPlayers!$B$2:$L$1000,6,FALSE)</f>
        <v>30.44</v>
      </c>
      <c r="G8">
        <f>VLOOKUP($B8,DailyPlayers!$B$2:$L$1000,7,FALSE)</f>
        <v>51.7</v>
      </c>
      <c r="H8">
        <f>VLOOKUP($B8,DailyPlayers!$B$2:$L$1000,8,FALSE)</f>
        <v>14.4</v>
      </c>
      <c r="I8">
        <f>VLOOKUP($B8,DailyPlayers!$B$2:$L$1000,9,FALSE)</f>
        <v>20.48</v>
      </c>
      <c r="J8">
        <f>VLOOKUP($B8,DailyPlayers!$B$2:$L$1000,10,FALSE)</f>
        <v>40.39</v>
      </c>
      <c r="K8">
        <f>VLOOKUP($B8,DailyPlayers!$B$2:$L$1000,11,FALSE)</f>
        <v>30.434999999999999</v>
      </c>
      <c r="L8">
        <f t="shared" si="0"/>
        <v>6.2166666666666677</v>
      </c>
    </row>
    <row r="9" spans="1:12" x14ac:dyDescent="0.25">
      <c r="A9">
        <v>4</v>
      </c>
      <c r="B9" t="s">
        <v>100</v>
      </c>
      <c r="C9" t="str">
        <f>VLOOKUP($B9,DailyPlayers!$B$2:$L$1000,3,FALSE)</f>
        <v>IND</v>
      </c>
      <c r="D9" t="str">
        <f>VLOOKUP($B9,DailyPlayers!$B$2:$L$1000,4,FALSE)</f>
        <v>WAS</v>
      </c>
      <c r="E9">
        <f>VLOOKUP($B9,DailyPlayers!$B$2:$L$1000,5,FALSE)</f>
        <v>6700</v>
      </c>
      <c r="F9">
        <f>VLOOKUP($B9,DailyPlayers!$B$2:$L$1000,6,FALSE)</f>
        <v>26.56</v>
      </c>
      <c r="G9">
        <f>VLOOKUP($B9,DailyPlayers!$B$2:$L$1000,7,FALSE)</f>
        <v>39.1</v>
      </c>
      <c r="H9">
        <f>VLOOKUP($B9,DailyPlayers!$B$2:$L$1000,8,FALSE)</f>
        <v>11.9</v>
      </c>
      <c r="I9">
        <f>VLOOKUP($B9,DailyPlayers!$B$2:$L$1000,9,FALSE)</f>
        <v>18.62</v>
      </c>
      <c r="J9">
        <f>VLOOKUP($B9,DailyPlayers!$B$2:$L$1000,10,FALSE)</f>
        <v>34.5</v>
      </c>
      <c r="K9">
        <f>VLOOKUP($B9,DailyPlayers!$B$2:$L$1000,11,FALSE)</f>
        <v>26.56</v>
      </c>
      <c r="L9">
        <f t="shared" si="0"/>
        <v>4.5333333333333341</v>
      </c>
    </row>
    <row r="10" spans="1:12" x14ac:dyDescent="0.25">
      <c r="A10">
        <v>5</v>
      </c>
      <c r="B10" t="s">
        <v>101</v>
      </c>
      <c r="C10" t="str">
        <f>VLOOKUP($B10,DailyPlayers!$B$2:$L$1000,3,FALSE)</f>
        <v>IND</v>
      </c>
      <c r="D10" t="str">
        <f>VLOOKUP($B10,DailyPlayers!$B$2:$L$1000,4,FALSE)</f>
        <v>WAS</v>
      </c>
      <c r="E10">
        <f>VLOOKUP($B10,DailyPlayers!$B$2:$L$1000,5,FALSE)</f>
        <v>6300</v>
      </c>
      <c r="F10">
        <f>VLOOKUP($B10,DailyPlayers!$B$2:$L$1000,6,FALSE)</f>
        <v>25.79</v>
      </c>
      <c r="G10">
        <f>VLOOKUP($B10,DailyPlayers!$B$2:$L$1000,7,FALSE)</f>
        <v>40.4</v>
      </c>
      <c r="H10">
        <f>VLOOKUP($B10,DailyPlayers!$B$2:$L$1000,8,FALSE)</f>
        <v>15.2</v>
      </c>
      <c r="I10">
        <f>VLOOKUP($B10,DailyPlayers!$B$2:$L$1000,9,FALSE)</f>
        <v>17.77</v>
      </c>
      <c r="J10">
        <f>VLOOKUP($B10,DailyPlayers!$B$2:$L$1000,10,FALSE)</f>
        <v>33.81</v>
      </c>
      <c r="K10">
        <f>VLOOKUP($B10,DailyPlayers!$B$2:$L$1000,11,FALSE)</f>
        <v>25.79</v>
      </c>
      <c r="L10">
        <f t="shared" si="0"/>
        <v>4.2</v>
      </c>
    </row>
    <row r="11" spans="1:12" x14ac:dyDescent="0.25">
      <c r="A11">
        <v>6</v>
      </c>
      <c r="B11" t="s">
        <v>102</v>
      </c>
      <c r="C11" t="str">
        <f>VLOOKUP($B11,DailyPlayers!$B$2:$L$1000,3,FALSE)</f>
        <v>WAS</v>
      </c>
      <c r="D11" t="str">
        <f>VLOOKUP($B11,DailyPlayers!$B$2:$L$1000,4,FALSE)</f>
        <v>IND</v>
      </c>
      <c r="E11">
        <f>VLOOKUP($B11,DailyPlayers!$B$2:$L$1000,5,FALSE)</f>
        <v>5800</v>
      </c>
      <c r="F11">
        <f>VLOOKUP($B11,DailyPlayers!$B$2:$L$1000,6,FALSE)</f>
        <v>26.48</v>
      </c>
      <c r="G11">
        <f>VLOOKUP($B11,DailyPlayers!$B$2:$L$1000,7,FALSE)</f>
        <v>36</v>
      </c>
      <c r="H11">
        <f>VLOOKUP($B11,DailyPlayers!$B$2:$L$1000,8,FALSE)</f>
        <v>15.7</v>
      </c>
      <c r="I11">
        <f>VLOOKUP($B11,DailyPlayers!$B$2:$L$1000,9,FALSE)</f>
        <v>20.13</v>
      </c>
      <c r="J11">
        <f>VLOOKUP($B11,DailyPlayers!$B$2:$L$1000,10,FALSE)</f>
        <v>32.83</v>
      </c>
      <c r="K11">
        <f>VLOOKUP($B11,DailyPlayers!$B$2:$L$1000,11,FALSE)</f>
        <v>26.48</v>
      </c>
      <c r="L11">
        <f t="shared" si="0"/>
        <v>3.3833333333333333</v>
      </c>
    </row>
    <row r="12" spans="1:12" x14ac:dyDescent="0.25">
      <c r="A12">
        <v>7</v>
      </c>
      <c r="B12" t="s">
        <v>103</v>
      </c>
      <c r="C12" t="str">
        <f>VLOOKUP($B12,DailyPlayers!$B$2:$L$1000,3,FALSE)</f>
        <v>POR</v>
      </c>
      <c r="D12" t="str">
        <f>VLOOKUP($B12,DailyPlayers!$B$2:$L$1000,4,FALSE)</f>
        <v>CHI</v>
      </c>
      <c r="E12">
        <f>VLOOKUP($B12,DailyPlayers!$B$2:$L$1000,5,FALSE)</f>
        <v>6000</v>
      </c>
      <c r="F12">
        <f>VLOOKUP($B12,DailyPlayers!$B$2:$L$1000,6,FALSE)</f>
        <v>26.61</v>
      </c>
      <c r="G12">
        <f>VLOOKUP($B12,DailyPlayers!$B$2:$L$1000,7,FALSE)</f>
        <v>35</v>
      </c>
      <c r="H12">
        <f>VLOOKUP($B12,DailyPlayers!$B$2:$L$1000,8,FALSE)</f>
        <v>19.3</v>
      </c>
      <c r="I12">
        <f>VLOOKUP($B12,DailyPlayers!$B$2:$L$1000,9,FALSE)</f>
        <v>21.24</v>
      </c>
      <c r="J12">
        <f>VLOOKUP($B12,DailyPlayers!$B$2:$L$1000,10,FALSE)</f>
        <v>31.99</v>
      </c>
      <c r="K12">
        <f>VLOOKUP($B12,DailyPlayers!$B$2:$L$1000,11,FALSE)</f>
        <v>26.614999999999998</v>
      </c>
      <c r="L12">
        <f t="shared" si="0"/>
        <v>2.6166666666666667</v>
      </c>
    </row>
    <row r="13" spans="1:12" x14ac:dyDescent="0.25">
      <c r="A13">
        <v>8</v>
      </c>
      <c r="B13" t="s">
        <v>104</v>
      </c>
      <c r="C13" t="str">
        <f>VLOOKUP($B13,DailyPlayers!$B$2:$L$1000,3,FALSE)</f>
        <v>LAL</v>
      </c>
      <c r="D13" t="str">
        <f>VLOOKUP($B13,DailyPlayers!$B$2:$L$1000,4,FALSE)</f>
        <v>GSW</v>
      </c>
      <c r="E13">
        <f>VLOOKUP($B13,DailyPlayers!$B$2:$L$1000,5,FALSE)</f>
        <v>5800</v>
      </c>
      <c r="F13">
        <f>VLOOKUP($B13,DailyPlayers!$B$2:$L$1000,6,FALSE)</f>
        <v>22.64</v>
      </c>
      <c r="G13">
        <f>VLOOKUP($B13,DailyPlayers!$B$2:$L$1000,7,FALSE)</f>
        <v>38.6</v>
      </c>
      <c r="H13">
        <f>VLOOKUP($B13,DailyPlayers!$B$2:$L$1000,8,FALSE)</f>
        <v>11.9</v>
      </c>
      <c r="I13">
        <f>VLOOKUP($B13,DailyPlayers!$B$2:$L$1000,9,FALSE)</f>
        <v>14.72</v>
      </c>
      <c r="J13">
        <f>VLOOKUP($B13,DailyPlayers!$B$2:$L$1000,10,FALSE)</f>
        <v>30.56</v>
      </c>
      <c r="K13">
        <f>VLOOKUP($B13,DailyPlayers!$B$2:$L$1000,11,FALSE)</f>
        <v>22.64</v>
      </c>
      <c r="L13">
        <f t="shared" si="0"/>
        <v>4.45</v>
      </c>
    </row>
    <row r="14" spans="1:12" ht="15.75" thickBot="1" x14ac:dyDescent="0.3">
      <c r="A14" s="3">
        <v>9</v>
      </c>
      <c r="B14" t="s">
        <v>105</v>
      </c>
      <c r="C14" t="str">
        <f>VLOOKUP($B14,DailyPlayers!$B$2:$L$1000,3,FALSE)</f>
        <v>DEN</v>
      </c>
      <c r="D14" t="str">
        <f>VLOOKUP($B14,DailyPlayers!$B$2:$L$1000,4,FALSE)</f>
        <v>LAC</v>
      </c>
      <c r="E14">
        <f>VLOOKUP($B14,DailyPlayers!$B$2:$L$1000,5,FALSE)</f>
        <v>3800</v>
      </c>
      <c r="F14">
        <f>VLOOKUP($B14,DailyPlayers!$B$2:$L$1000,6,FALSE)</f>
        <v>13.27</v>
      </c>
      <c r="G14">
        <f>VLOOKUP($B14,DailyPlayers!$B$2:$L$1000,7,FALSE)</f>
        <v>31.6</v>
      </c>
      <c r="H14">
        <f>VLOOKUP($B14,DailyPlayers!$B$2:$L$1000,8,FALSE)</f>
        <v>5.2</v>
      </c>
      <c r="I14">
        <f>VLOOKUP($B14,DailyPlayers!$B$2:$L$1000,9,FALSE)</f>
        <v>7.08</v>
      </c>
      <c r="J14">
        <f>VLOOKUP($B14,DailyPlayers!$B$2:$L$1000,10,FALSE)</f>
        <v>19.46</v>
      </c>
      <c r="K14">
        <f>VLOOKUP($B14,DailyPlayers!$B$2:$L$1000,11,FALSE)</f>
        <v>13.27</v>
      </c>
      <c r="L14">
        <f t="shared" si="0"/>
        <v>4.4000000000000004</v>
      </c>
    </row>
    <row r="15" spans="1:12" ht="15.75" x14ac:dyDescent="0.25">
      <c r="A15" s="20"/>
      <c r="B15" s="20"/>
      <c r="C15" s="9"/>
      <c r="D15" s="9"/>
      <c r="E15" s="9">
        <f t="shared" ref="E15:K15" si="1">SUM(E5:E14)</f>
        <v>59800</v>
      </c>
      <c r="F15" s="9">
        <f t="shared" si="1"/>
        <v>250.31999999999996</v>
      </c>
      <c r="G15" s="9">
        <f t="shared" si="1"/>
        <v>387.80000000000007</v>
      </c>
      <c r="H15" s="9">
        <f t="shared" si="1"/>
        <v>134.5</v>
      </c>
      <c r="I15" s="9">
        <f t="shared" si="1"/>
        <v>178.48000000000002</v>
      </c>
      <c r="J15" s="9">
        <f t="shared" si="1"/>
        <v>322.15999999999997</v>
      </c>
      <c r="K15" s="9">
        <f t="shared" si="1"/>
        <v>250.32000000000002</v>
      </c>
      <c r="L15" s="9">
        <f>SUM(L6:L14)</f>
        <v>42.216666666666669</v>
      </c>
    </row>
    <row r="16" spans="1:12" x14ac:dyDescent="0.25">
      <c r="A16" s="2" t="s">
        <v>5</v>
      </c>
      <c r="B16" s="8">
        <v>280</v>
      </c>
      <c r="F16" s="13"/>
    </row>
    <row r="17" spans="1:6" x14ac:dyDescent="0.25">
      <c r="A17" s="2" t="s">
        <v>6</v>
      </c>
      <c r="B17" s="8">
        <v>5000</v>
      </c>
      <c r="F17" s="13"/>
    </row>
    <row r="18" spans="1:6" ht="29.25" thickBot="1" x14ac:dyDescent="0.3">
      <c r="A18" s="14" t="s">
        <v>78</v>
      </c>
      <c r="B18" s="21">
        <f>((1+ERF(((F15-B16)/SQRT(L15)/SQRT(2))))/2)</f>
        <v>2.4625150670809504E-6</v>
      </c>
    </row>
    <row r="19" spans="1:6" x14ac:dyDescent="0.25">
      <c r="A19" s="15" t="s">
        <v>4</v>
      </c>
      <c r="B19" s="16"/>
    </row>
    <row r="20" spans="1:6" x14ac:dyDescent="0.25">
      <c r="A20" s="4"/>
      <c r="B20" s="5"/>
    </row>
    <row r="21" spans="1:6" ht="15.75" thickBot="1" x14ac:dyDescent="0.3">
      <c r="A21" s="6"/>
      <c r="B21" s="7"/>
    </row>
  </sheetData>
  <mergeCells count="5">
    <mergeCell ref="A19:B19"/>
    <mergeCell ref="A1:D1"/>
    <mergeCell ref="A2:D2"/>
    <mergeCell ref="A4:D4"/>
    <mergeCell ref="A15:B1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94"/>
  <sheetViews>
    <sheetView topLeftCell="A57" workbookViewId="0">
      <selection activeCell="B68" sqref="B68"/>
    </sheetView>
  </sheetViews>
  <sheetFormatPr defaultRowHeight="15" x14ac:dyDescent="0.25"/>
  <cols>
    <col min="1" max="1" width="4.140625" bestFit="1" customWidth="1"/>
    <col min="2" max="2" width="24.42578125" customWidth="1"/>
    <col min="3" max="3" width="10.7109375" bestFit="1" customWidth="1"/>
    <col min="4" max="4" width="5.5703125" customWidth="1"/>
    <col min="5" max="5" width="5.42578125" bestFit="1" customWidth="1"/>
    <col min="6" max="6" width="6.140625" bestFit="1" customWidth="1"/>
    <col min="7" max="7" width="6" bestFit="1" customWidth="1"/>
    <col min="8" max="8" width="6.5703125" bestFit="1" customWidth="1"/>
    <col min="9" max="9" width="6.28515625" bestFit="1" customWidth="1"/>
    <col min="10" max="10" width="6" bestFit="1" customWidth="1"/>
    <col min="11" max="11" width="9.7109375" bestFit="1" customWidth="1"/>
    <col min="12" max="12" width="8" bestFit="1" customWidth="1"/>
    <col min="13" max="13" width="5.42578125" bestFit="1" customWidth="1"/>
    <col min="14" max="14" width="6.140625" bestFit="1" customWidth="1"/>
    <col min="15" max="15" width="6" bestFit="1" customWidth="1"/>
    <col min="16" max="16" width="6.5703125" bestFit="1" customWidth="1"/>
    <col min="17" max="17" width="6.28515625" bestFit="1" customWidth="1"/>
    <col min="18" max="19" width="6" bestFit="1" customWidth="1"/>
    <col min="20" max="20" width="8" bestFit="1" customWidth="1"/>
  </cols>
  <sheetData>
    <row r="1" spans="1:12" x14ac:dyDescent="0.25">
      <c r="A1" t="s">
        <v>17</v>
      </c>
      <c r="B1" t="s">
        <v>18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  <c r="I1" t="s">
        <v>25</v>
      </c>
      <c r="J1" t="s">
        <v>26</v>
      </c>
      <c r="K1" t="s">
        <v>27</v>
      </c>
      <c r="L1" t="s">
        <v>28</v>
      </c>
    </row>
    <row r="2" spans="1:12" x14ac:dyDescent="0.25">
      <c r="A2" t="s">
        <v>29</v>
      </c>
      <c r="B2" t="s">
        <v>106</v>
      </c>
      <c r="C2" s="10">
        <v>42332</v>
      </c>
      <c r="D2" t="s">
        <v>107</v>
      </c>
      <c r="E2" t="s">
        <v>108</v>
      </c>
      <c r="F2">
        <v>4000</v>
      </c>
      <c r="G2">
        <v>15.03</v>
      </c>
      <c r="H2">
        <v>25.6</v>
      </c>
      <c r="I2">
        <v>6.1</v>
      </c>
      <c r="J2">
        <v>9.1300000000000008</v>
      </c>
      <c r="K2" s="10">
        <v>20.93</v>
      </c>
      <c r="L2">
        <v>15.03</v>
      </c>
    </row>
    <row r="3" spans="1:12" x14ac:dyDescent="0.25">
      <c r="A3" t="s">
        <v>30</v>
      </c>
      <c r="B3" t="s">
        <v>109</v>
      </c>
      <c r="C3" s="10">
        <v>42332</v>
      </c>
      <c r="D3" t="s">
        <v>110</v>
      </c>
      <c r="E3" t="s">
        <v>111</v>
      </c>
      <c r="F3">
        <v>7400</v>
      </c>
      <c r="G3">
        <v>33.14</v>
      </c>
      <c r="H3">
        <v>44.1</v>
      </c>
      <c r="I3">
        <v>21.7</v>
      </c>
      <c r="J3">
        <v>26.99</v>
      </c>
      <c r="K3" s="10">
        <v>39.29</v>
      </c>
      <c r="L3">
        <v>33.14</v>
      </c>
    </row>
    <row r="4" spans="1:12" x14ac:dyDescent="0.25">
      <c r="A4" t="s">
        <v>31</v>
      </c>
      <c r="B4" t="s">
        <v>103</v>
      </c>
      <c r="C4" s="10">
        <v>42332</v>
      </c>
      <c r="D4" t="s">
        <v>108</v>
      </c>
      <c r="E4" t="s">
        <v>107</v>
      </c>
      <c r="F4">
        <v>6000</v>
      </c>
      <c r="G4">
        <v>26.61</v>
      </c>
      <c r="H4">
        <v>35</v>
      </c>
      <c r="I4">
        <v>19.3</v>
      </c>
      <c r="J4">
        <v>21.24</v>
      </c>
      <c r="K4" s="10">
        <v>31.99</v>
      </c>
      <c r="L4">
        <v>26.614999999999998</v>
      </c>
    </row>
    <row r="5" spans="1:12" x14ac:dyDescent="0.25">
      <c r="A5" t="s">
        <v>32</v>
      </c>
      <c r="B5" t="s">
        <v>112</v>
      </c>
      <c r="C5" s="10">
        <v>42332</v>
      </c>
      <c r="D5" t="s">
        <v>108</v>
      </c>
      <c r="E5" t="s">
        <v>107</v>
      </c>
      <c r="F5">
        <v>3500</v>
      </c>
      <c r="G5">
        <v>12.57</v>
      </c>
      <c r="H5">
        <v>24</v>
      </c>
      <c r="I5">
        <v>4.5999999999999996</v>
      </c>
      <c r="J5">
        <v>6.55</v>
      </c>
      <c r="K5" s="10">
        <v>18.59</v>
      </c>
      <c r="L5">
        <v>12.57</v>
      </c>
    </row>
    <row r="6" spans="1:12" x14ac:dyDescent="0.25">
      <c r="A6" t="s">
        <v>30</v>
      </c>
      <c r="B6" t="s">
        <v>113</v>
      </c>
      <c r="C6" s="10">
        <v>42332</v>
      </c>
      <c r="D6" t="s">
        <v>111</v>
      </c>
      <c r="E6" t="s">
        <v>110</v>
      </c>
      <c r="F6">
        <v>4700</v>
      </c>
      <c r="G6">
        <v>18.73</v>
      </c>
      <c r="H6">
        <v>45.6</v>
      </c>
      <c r="I6">
        <v>4.5</v>
      </c>
      <c r="J6">
        <v>8.08</v>
      </c>
      <c r="K6" s="10">
        <v>29.37</v>
      </c>
      <c r="L6">
        <v>18.725000000000001</v>
      </c>
    </row>
    <row r="7" spans="1:12" x14ac:dyDescent="0.25">
      <c r="A7" t="s">
        <v>31</v>
      </c>
      <c r="B7" t="s">
        <v>114</v>
      </c>
      <c r="C7" s="10">
        <v>42332</v>
      </c>
      <c r="D7" t="s">
        <v>115</v>
      </c>
      <c r="E7" t="s">
        <v>116</v>
      </c>
      <c r="F7">
        <v>4900</v>
      </c>
      <c r="G7">
        <v>23.03</v>
      </c>
      <c r="H7">
        <v>34.200000000000003</v>
      </c>
      <c r="I7">
        <v>13.5</v>
      </c>
      <c r="J7">
        <v>17.45</v>
      </c>
      <c r="K7" s="10">
        <v>28.61</v>
      </c>
      <c r="L7">
        <v>23.03</v>
      </c>
    </row>
    <row r="8" spans="1:12" x14ac:dyDescent="0.25">
      <c r="A8" t="s">
        <v>30</v>
      </c>
      <c r="B8" t="s">
        <v>117</v>
      </c>
      <c r="C8" s="10">
        <v>42332</v>
      </c>
      <c r="D8" t="s">
        <v>115</v>
      </c>
      <c r="E8" t="s">
        <v>116</v>
      </c>
      <c r="F8">
        <v>4800</v>
      </c>
      <c r="G8">
        <v>22.16</v>
      </c>
      <c r="H8">
        <v>45.6</v>
      </c>
      <c r="I8">
        <v>6.2</v>
      </c>
      <c r="J8">
        <v>11.4</v>
      </c>
      <c r="K8" s="10">
        <v>32.909999999999997</v>
      </c>
      <c r="L8">
        <v>22.155000000000001</v>
      </c>
    </row>
    <row r="9" spans="1:12" x14ac:dyDescent="0.25">
      <c r="A9" t="s">
        <v>31</v>
      </c>
      <c r="B9" t="s">
        <v>118</v>
      </c>
      <c r="C9" s="10">
        <v>42332</v>
      </c>
      <c r="D9" t="s">
        <v>116</v>
      </c>
      <c r="E9" t="s">
        <v>115</v>
      </c>
      <c r="F9">
        <v>3500</v>
      </c>
      <c r="G9">
        <v>3.5</v>
      </c>
      <c r="H9">
        <v>5</v>
      </c>
      <c r="I9">
        <v>2</v>
      </c>
      <c r="J9">
        <v>2</v>
      </c>
      <c r="K9" s="10">
        <v>5</v>
      </c>
      <c r="L9">
        <v>3.5</v>
      </c>
    </row>
    <row r="10" spans="1:12" x14ac:dyDescent="0.25">
      <c r="A10" t="s">
        <v>29</v>
      </c>
      <c r="B10" t="s">
        <v>119</v>
      </c>
      <c r="C10" s="10">
        <v>42332</v>
      </c>
      <c r="D10" t="s">
        <v>120</v>
      </c>
      <c r="E10" t="s">
        <v>121</v>
      </c>
      <c r="F10">
        <v>3700</v>
      </c>
      <c r="G10">
        <v>14.02</v>
      </c>
      <c r="H10">
        <v>30.7</v>
      </c>
      <c r="I10">
        <v>-2</v>
      </c>
      <c r="J10">
        <v>6.84</v>
      </c>
      <c r="K10" s="10">
        <v>21.19</v>
      </c>
      <c r="L10">
        <v>14.015000000000001</v>
      </c>
    </row>
    <row r="11" spans="1:12" x14ac:dyDescent="0.25">
      <c r="A11" t="s">
        <v>32</v>
      </c>
      <c r="B11" t="s">
        <v>122</v>
      </c>
      <c r="C11" s="10">
        <v>42332</v>
      </c>
      <c r="D11" t="s">
        <v>111</v>
      </c>
      <c r="E11" t="s">
        <v>110</v>
      </c>
      <c r="F11">
        <v>6000</v>
      </c>
      <c r="G11">
        <v>23.84</v>
      </c>
      <c r="H11">
        <v>37.299999999999997</v>
      </c>
      <c r="I11">
        <v>7.1</v>
      </c>
      <c r="J11">
        <v>13.62</v>
      </c>
      <c r="K11" s="10">
        <v>34.06</v>
      </c>
      <c r="L11">
        <v>23.84</v>
      </c>
    </row>
    <row r="12" spans="1:12" x14ac:dyDescent="0.25">
      <c r="A12" t="s">
        <v>33</v>
      </c>
      <c r="B12" t="s">
        <v>98</v>
      </c>
      <c r="C12" s="10">
        <v>42332</v>
      </c>
      <c r="D12" t="s">
        <v>120</v>
      </c>
      <c r="E12" t="s">
        <v>121</v>
      </c>
      <c r="F12">
        <v>9200</v>
      </c>
      <c r="G12">
        <v>42.1</v>
      </c>
      <c r="H12">
        <v>61.1</v>
      </c>
      <c r="I12">
        <v>20.2</v>
      </c>
      <c r="J12">
        <v>30.59</v>
      </c>
      <c r="K12" s="10">
        <v>53.61</v>
      </c>
      <c r="L12">
        <v>42.1</v>
      </c>
    </row>
    <row r="13" spans="1:12" x14ac:dyDescent="0.25">
      <c r="A13" t="s">
        <v>33</v>
      </c>
      <c r="B13" t="s">
        <v>123</v>
      </c>
      <c r="C13" s="10">
        <v>42332</v>
      </c>
      <c r="D13" t="s">
        <v>107</v>
      </c>
      <c r="E13" t="s">
        <v>108</v>
      </c>
      <c r="F13">
        <v>3500</v>
      </c>
      <c r="G13">
        <v>8.9499999999999993</v>
      </c>
      <c r="H13">
        <v>11.4</v>
      </c>
      <c r="I13">
        <v>6.5</v>
      </c>
      <c r="J13">
        <v>6.5</v>
      </c>
      <c r="K13" s="10">
        <v>11.4</v>
      </c>
      <c r="L13">
        <v>8.9499999999999993</v>
      </c>
    </row>
    <row r="14" spans="1:12" x14ac:dyDescent="0.25">
      <c r="A14" t="s">
        <v>32</v>
      </c>
      <c r="B14" t="s">
        <v>124</v>
      </c>
      <c r="C14" s="10">
        <v>42332</v>
      </c>
      <c r="D14" t="s">
        <v>125</v>
      </c>
      <c r="E14" t="s">
        <v>126</v>
      </c>
      <c r="F14">
        <v>6900</v>
      </c>
      <c r="G14">
        <v>28.36</v>
      </c>
      <c r="H14">
        <v>42</v>
      </c>
      <c r="I14">
        <v>10.199999999999999</v>
      </c>
      <c r="J14">
        <v>18.54</v>
      </c>
      <c r="K14" s="10">
        <v>38.17</v>
      </c>
      <c r="L14">
        <v>28.355</v>
      </c>
    </row>
    <row r="15" spans="1:12" x14ac:dyDescent="0.25">
      <c r="A15" t="s">
        <v>30</v>
      </c>
      <c r="B15" t="s">
        <v>127</v>
      </c>
      <c r="C15" s="10">
        <v>42332</v>
      </c>
      <c r="D15" t="s">
        <v>128</v>
      </c>
      <c r="E15" t="s">
        <v>129</v>
      </c>
      <c r="F15">
        <v>3700</v>
      </c>
      <c r="G15">
        <v>14.11</v>
      </c>
      <c r="H15">
        <v>28.7</v>
      </c>
      <c r="I15">
        <v>2</v>
      </c>
      <c r="J15">
        <v>6.41</v>
      </c>
      <c r="K15" s="10">
        <v>21.82</v>
      </c>
      <c r="L15">
        <v>14.115</v>
      </c>
    </row>
    <row r="16" spans="1:12" x14ac:dyDescent="0.25">
      <c r="A16" t="s">
        <v>33</v>
      </c>
      <c r="B16" t="s">
        <v>130</v>
      </c>
      <c r="C16" s="10">
        <v>42332</v>
      </c>
      <c r="D16" t="s">
        <v>116</v>
      </c>
      <c r="E16" t="s">
        <v>115</v>
      </c>
      <c r="F16">
        <v>3700</v>
      </c>
      <c r="G16">
        <v>12.52</v>
      </c>
      <c r="H16">
        <v>24.5</v>
      </c>
      <c r="I16">
        <v>3.2</v>
      </c>
      <c r="J16">
        <v>6.98</v>
      </c>
      <c r="K16" s="10">
        <v>18.05</v>
      </c>
      <c r="L16">
        <v>12.515000000000001</v>
      </c>
    </row>
    <row r="17" spans="1:12" x14ac:dyDescent="0.25">
      <c r="A17" t="s">
        <v>32</v>
      </c>
      <c r="B17" t="s">
        <v>131</v>
      </c>
      <c r="C17" s="10">
        <v>42332</v>
      </c>
      <c r="D17" t="s">
        <v>115</v>
      </c>
      <c r="E17" t="s">
        <v>116</v>
      </c>
      <c r="F17">
        <v>3500</v>
      </c>
      <c r="G17">
        <v>9.48</v>
      </c>
      <c r="H17">
        <v>16.8</v>
      </c>
      <c r="I17">
        <v>2.7</v>
      </c>
      <c r="J17">
        <v>4.18</v>
      </c>
      <c r="K17" s="10">
        <v>14.78</v>
      </c>
      <c r="L17">
        <v>9.48</v>
      </c>
    </row>
    <row r="18" spans="1:12" x14ac:dyDescent="0.25">
      <c r="A18" t="s">
        <v>32</v>
      </c>
      <c r="B18" t="s">
        <v>132</v>
      </c>
      <c r="C18" s="10">
        <v>42332</v>
      </c>
      <c r="D18" t="s">
        <v>108</v>
      </c>
      <c r="E18" t="s">
        <v>107</v>
      </c>
      <c r="F18">
        <v>6600</v>
      </c>
      <c r="G18">
        <v>29.64</v>
      </c>
      <c r="H18">
        <v>47.7</v>
      </c>
      <c r="I18">
        <v>21.2</v>
      </c>
      <c r="J18">
        <v>22.72</v>
      </c>
      <c r="K18" s="10">
        <v>36.56</v>
      </c>
      <c r="L18">
        <v>29.64</v>
      </c>
    </row>
    <row r="19" spans="1:12" x14ac:dyDescent="0.25">
      <c r="A19" t="s">
        <v>31</v>
      </c>
      <c r="B19" t="s">
        <v>133</v>
      </c>
      <c r="C19" s="10">
        <v>42332</v>
      </c>
      <c r="D19" t="s">
        <v>126</v>
      </c>
      <c r="E19" t="s">
        <v>125</v>
      </c>
      <c r="F19">
        <v>4900</v>
      </c>
      <c r="G19">
        <v>20.73</v>
      </c>
      <c r="H19">
        <v>29.4</v>
      </c>
      <c r="I19">
        <v>11.5</v>
      </c>
      <c r="J19">
        <v>14.65</v>
      </c>
      <c r="K19" s="10">
        <v>26.81</v>
      </c>
      <c r="L19">
        <v>20.73</v>
      </c>
    </row>
    <row r="20" spans="1:12" x14ac:dyDescent="0.25">
      <c r="A20" t="s">
        <v>33</v>
      </c>
      <c r="B20" t="s">
        <v>134</v>
      </c>
      <c r="C20" s="10">
        <v>42332</v>
      </c>
      <c r="D20" t="s">
        <v>107</v>
      </c>
      <c r="E20" t="s">
        <v>108</v>
      </c>
      <c r="F20">
        <v>3500</v>
      </c>
      <c r="G20">
        <v>2.8</v>
      </c>
      <c r="H20">
        <v>3.2</v>
      </c>
      <c r="I20">
        <v>2.4</v>
      </c>
      <c r="J20">
        <v>2.4</v>
      </c>
      <c r="K20" s="10">
        <v>3.2</v>
      </c>
      <c r="L20">
        <v>2.8</v>
      </c>
    </row>
    <row r="21" spans="1:12" x14ac:dyDescent="0.25">
      <c r="A21" t="s">
        <v>31</v>
      </c>
      <c r="B21" t="s">
        <v>135</v>
      </c>
      <c r="C21" s="10">
        <v>42332</v>
      </c>
      <c r="D21" t="s">
        <v>129</v>
      </c>
      <c r="E21" t="s">
        <v>128</v>
      </c>
      <c r="F21">
        <v>4800</v>
      </c>
      <c r="G21">
        <v>12.98</v>
      </c>
      <c r="H21">
        <v>30.5</v>
      </c>
      <c r="I21">
        <v>5.2</v>
      </c>
      <c r="J21">
        <v>6.53</v>
      </c>
      <c r="K21" s="10">
        <v>19.43</v>
      </c>
      <c r="L21">
        <v>12.98</v>
      </c>
    </row>
    <row r="22" spans="1:12" x14ac:dyDescent="0.25">
      <c r="A22" t="s">
        <v>33</v>
      </c>
      <c r="B22" t="s">
        <v>136</v>
      </c>
      <c r="C22" s="10">
        <v>42332</v>
      </c>
      <c r="D22" t="s">
        <v>129</v>
      </c>
      <c r="E22" t="s">
        <v>128</v>
      </c>
      <c r="F22">
        <v>3500</v>
      </c>
      <c r="G22">
        <v>13.5</v>
      </c>
      <c r="H22">
        <v>30.5</v>
      </c>
      <c r="I22">
        <v>6.4</v>
      </c>
      <c r="J22">
        <v>5.24</v>
      </c>
      <c r="K22" s="10">
        <v>21.76</v>
      </c>
      <c r="L22">
        <v>13.5</v>
      </c>
    </row>
    <row r="23" spans="1:12" x14ac:dyDescent="0.25">
      <c r="A23" t="s">
        <v>31</v>
      </c>
      <c r="B23" t="s">
        <v>137</v>
      </c>
      <c r="C23" s="10">
        <v>42332</v>
      </c>
      <c r="D23" t="s">
        <v>126</v>
      </c>
      <c r="E23" t="s">
        <v>125</v>
      </c>
      <c r="F23">
        <v>3700</v>
      </c>
      <c r="G23">
        <v>11.58</v>
      </c>
      <c r="H23">
        <v>28.7</v>
      </c>
      <c r="I23">
        <v>1.2</v>
      </c>
      <c r="J23">
        <v>3.99</v>
      </c>
      <c r="K23" s="10">
        <v>19.16</v>
      </c>
      <c r="L23">
        <v>11.574999999999999</v>
      </c>
    </row>
    <row r="24" spans="1:12" x14ac:dyDescent="0.25">
      <c r="A24" t="s">
        <v>30</v>
      </c>
      <c r="B24" t="s">
        <v>138</v>
      </c>
      <c r="C24" s="10">
        <v>42332</v>
      </c>
      <c r="D24" t="s">
        <v>108</v>
      </c>
      <c r="E24" t="s">
        <v>107</v>
      </c>
      <c r="F24">
        <v>3700</v>
      </c>
      <c r="G24">
        <v>11.3</v>
      </c>
      <c r="H24">
        <v>14.3</v>
      </c>
      <c r="I24">
        <v>8.3000000000000007</v>
      </c>
      <c r="J24">
        <v>8.3000000000000007</v>
      </c>
      <c r="K24" s="10">
        <v>14.3</v>
      </c>
      <c r="L24">
        <v>11.3</v>
      </c>
    </row>
    <row r="25" spans="1:12" x14ac:dyDescent="0.25">
      <c r="A25" t="s">
        <v>29</v>
      </c>
      <c r="B25" t="s">
        <v>139</v>
      </c>
      <c r="C25" s="10">
        <v>42332</v>
      </c>
      <c r="D25" t="s">
        <v>120</v>
      </c>
      <c r="E25" t="s">
        <v>121</v>
      </c>
      <c r="F25">
        <v>8900</v>
      </c>
      <c r="G25">
        <v>33.869999999999997</v>
      </c>
      <c r="H25">
        <v>54.8</v>
      </c>
      <c r="I25">
        <v>22.1</v>
      </c>
      <c r="J25">
        <v>23.28</v>
      </c>
      <c r="K25" s="10">
        <v>44.46</v>
      </c>
      <c r="L25">
        <v>33.869999999999997</v>
      </c>
    </row>
    <row r="26" spans="1:12" x14ac:dyDescent="0.25">
      <c r="A26" t="s">
        <v>33</v>
      </c>
      <c r="B26" t="s">
        <v>140</v>
      </c>
      <c r="C26" s="10">
        <v>42332</v>
      </c>
      <c r="D26" t="s">
        <v>108</v>
      </c>
      <c r="E26" t="s">
        <v>107</v>
      </c>
      <c r="F26">
        <v>3500</v>
      </c>
      <c r="G26">
        <v>2.8</v>
      </c>
      <c r="H26">
        <v>4.4000000000000004</v>
      </c>
      <c r="I26">
        <v>2</v>
      </c>
      <c r="J26">
        <v>1.67</v>
      </c>
      <c r="K26" s="10">
        <v>3.93</v>
      </c>
      <c r="L26">
        <v>2.8</v>
      </c>
    </row>
    <row r="27" spans="1:12" x14ac:dyDescent="0.25">
      <c r="A27" t="s">
        <v>30</v>
      </c>
      <c r="B27" t="s">
        <v>141</v>
      </c>
      <c r="C27" s="10">
        <v>42332</v>
      </c>
      <c r="D27" t="s">
        <v>120</v>
      </c>
      <c r="E27" t="s">
        <v>121</v>
      </c>
      <c r="F27">
        <v>3500</v>
      </c>
      <c r="G27">
        <v>3.9</v>
      </c>
      <c r="H27">
        <v>6.8</v>
      </c>
      <c r="I27">
        <v>1</v>
      </c>
      <c r="J27">
        <v>1</v>
      </c>
      <c r="K27" s="10">
        <v>6.8</v>
      </c>
      <c r="L27">
        <v>3.9</v>
      </c>
    </row>
    <row r="28" spans="1:12" x14ac:dyDescent="0.25">
      <c r="A28" t="s">
        <v>32</v>
      </c>
      <c r="B28" t="s">
        <v>142</v>
      </c>
      <c r="C28" s="10">
        <v>42332</v>
      </c>
      <c r="D28" t="s">
        <v>128</v>
      </c>
      <c r="E28" t="s">
        <v>129</v>
      </c>
      <c r="F28">
        <v>3900</v>
      </c>
      <c r="G28">
        <v>16.920000000000002</v>
      </c>
      <c r="H28">
        <v>22.4</v>
      </c>
      <c r="I28">
        <v>10.9</v>
      </c>
      <c r="J28">
        <v>13.1</v>
      </c>
      <c r="K28" s="10">
        <v>20.74</v>
      </c>
      <c r="L28">
        <v>16.920000000000002</v>
      </c>
    </row>
    <row r="29" spans="1:12" x14ac:dyDescent="0.25">
      <c r="A29" t="s">
        <v>29</v>
      </c>
      <c r="B29" t="s">
        <v>143</v>
      </c>
      <c r="C29" s="10">
        <v>42332</v>
      </c>
      <c r="D29" t="s">
        <v>116</v>
      </c>
      <c r="E29" t="s">
        <v>115</v>
      </c>
      <c r="F29">
        <v>5200</v>
      </c>
      <c r="G29">
        <v>21.22</v>
      </c>
      <c r="H29">
        <v>29.8</v>
      </c>
      <c r="I29">
        <v>7.6</v>
      </c>
      <c r="J29">
        <v>15.06</v>
      </c>
      <c r="K29" s="10">
        <v>27.38</v>
      </c>
      <c r="L29">
        <v>21.22</v>
      </c>
    </row>
    <row r="30" spans="1:12" x14ac:dyDescent="0.25">
      <c r="A30" t="s">
        <v>29</v>
      </c>
      <c r="B30" t="s">
        <v>144</v>
      </c>
      <c r="C30" s="10">
        <v>42332</v>
      </c>
      <c r="D30" t="s">
        <v>108</v>
      </c>
      <c r="E30" t="s">
        <v>107</v>
      </c>
      <c r="F30">
        <v>9400</v>
      </c>
      <c r="G30">
        <v>40.93</v>
      </c>
      <c r="H30">
        <v>60.7</v>
      </c>
      <c r="I30">
        <v>27.1</v>
      </c>
      <c r="J30">
        <v>32.229999999999997</v>
      </c>
      <c r="K30" s="10">
        <v>49.63</v>
      </c>
      <c r="L30">
        <v>40.93</v>
      </c>
    </row>
    <row r="31" spans="1:12" x14ac:dyDescent="0.25">
      <c r="A31" t="s">
        <v>31</v>
      </c>
      <c r="B31" t="s">
        <v>145</v>
      </c>
      <c r="C31" s="10">
        <v>42332</v>
      </c>
      <c r="D31" t="s">
        <v>121</v>
      </c>
      <c r="E31" t="s">
        <v>120</v>
      </c>
      <c r="F31">
        <v>6900</v>
      </c>
      <c r="G31">
        <v>29.51</v>
      </c>
      <c r="H31">
        <v>50.6</v>
      </c>
      <c r="I31">
        <v>12.9</v>
      </c>
      <c r="J31">
        <v>18.84</v>
      </c>
      <c r="K31" s="10">
        <v>40.17</v>
      </c>
      <c r="L31">
        <v>29.504999999999999</v>
      </c>
    </row>
    <row r="32" spans="1:12" x14ac:dyDescent="0.25">
      <c r="A32" t="s">
        <v>33</v>
      </c>
      <c r="B32" t="s">
        <v>105</v>
      </c>
      <c r="C32" s="10">
        <v>42332</v>
      </c>
      <c r="D32" t="s">
        <v>121</v>
      </c>
      <c r="E32" t="s">
        <v>120</v>
      </c>
      <c r="F32">
        <v>3800</v>
      </c>
      <c r="G32">
        <v>13.27</v>
      </c>
      <c r="H32">
        <v>31.6</v>
      </c>
      <c r="I32">
        <v>5.2</v>
      </c>
      <c r="J32">
        <v>7.08</v>
      </c>
      <c r="K32" s="10">
        <v>19.46</v>
      </c>
      <c r="L32">
        <v>13.27</v>
      </c>
    </row>
    <row r="33" spans="1:12" x14ac:dyDescent="0.25">
      <c r="A33" t="s">
        <v>33</v>
      </c>
      <c r="B33" t="s">
        <v>146</v>
      </c>
      <c r="C33" s="10">
        <v>42332</v>
      </c>
      <c r="D33" t="s">
        <v>111</v>
      </c>
      <c r="E33" t="s">
        <v>110</v>
      </c>
      <c r="F33">
        <v>3900</v>
      </c>
      <c r="G33">
        <v>14.03</v>
      </c>
      <c r="H33">
        <v>26.5</v>
      </c>
      <c r="I33">
        <v>2.4</v>
      </c>
      <c r="J33">
        <v>6.59</v>
      </c>
      <c r="K33" s="10">
        <v>21.46</v>
      </c>
      <c r="L33">
        <v>14.025</v>
      </c>
    </row>
    <row r="34" spans="1:12" x14ac:dyDescent="0.25">
      <c r="A34" t="s">
        <v>30</v>
      </c>
      <c r="B34" t="s">
        <v>147</v>
      </c>
      <c r="C34" s="10">
        <v>42332</v>
      </c>
      <c r="D34" t="s">
        <v>120</v>
      </c>
      <c r="E34" t="s">
        <v>121</v>
      </c>
      <c r="F34">
        <v>7600</v>
      </c>
      <c r="G34">
        <v>32.68</v>
      </c>
      <c r="H34">
        <v>53.1</v>
      </c>
      <c r="I34">
        <v>22.2</v>
      </c>
      <c r="J34">
        <v>24.36</v>
      </c>
      <c r="K34" s="10">
        <v>41</v>
      </c>
      <c r="L34">
        <v>32.68</v>
      </c>
    </row>
    <row r="35" spans="1:12" x14ac:dyDescent="0.25">
      <c r="A35" t="s">
        <v>30</v>
      </c>
      <c r="B35" t="s">
        <v>148</v>
      </c>
      <c r="C35" s="10">
        <v>42332</v>
      </c>
      <c r="D35" t="s">
        <v>125</v>
      </c>
      <c r="E35" t="s">
        <v>126</v>
      </c>
      <c r="F35">
        <v>3500</v>
      </c>
      <c r="G35">
        <v>5.48</v>
      </c>
      <c r="H35">
        <v>15.8</v>
      </c>
      <c r="I35">
        <v>-0.8</v>
      </c>
      <c r="J35">
        <v>-0.9</v>
      </c>
      <c r="K35" s="10">
        <v>11.85</v>
      </c>
      <c r="L35">
        <v>5.4749999999999996</v>
      </c>
    </row>
    <row r="36" spans="1:12" x14ac:dyDescent="0.25">
      <c r="A36" t="s">
        <v>29</v>
      </c>
      <c r="B36" t="s">
        <v>149</v>
      </c>
      <c r="C36" s="10">
        <v>42332</v>
      </c>
      <c r="D36" t="s">
        <v>110</v>
      </c>
      <c r="E36" t="s">
        <v>111</v>
      </c>
      <c r="F36">
        <v>5000</v>
      </c>
      <c r="G36">
        <v>21.34</v>
      </c>
      <c r="H36">
        <v>32.6</v>
      </c>
      <c r="I36">
        <v>8.9</v>
      </c>
      <c r="J36">
        <v>14.73</v>
      </c>
      <c r="K36" s="10">
        <v>27.94</v>
      </c>
      <c r="L36">
        <v>21.335000000000001</v>
      </c>
    </row>
    <row r="37" spans="1:12" x14ac:dyDescent="0.25">
      <c r="A37" t="s">
        <v>29</v>
      </c>
      <c r="B37" t="s">
        <v>150</v>
      </c>
      <c r="C37" s="10">
        <v>42332</v>
      </c>
      <c r="D37" t="s">
        <v>129</v>
      </c>
      <c r="E37" t="s">
        <v>128</v>
      </c>
      <c r="F37">
        <v>6700</v>
      </c>
      <c r="G37">
        <v>27.52</v>
      </c>
      <c r="H37">
        <v>45.2</v>
      </c>
      <c r="I37">
        <v>13.5</v>
      </c>
      <c r="J37">
        <v>20.23</v>
      </c>
      <c r="K37" s="10">
        <v>34.799999999999997</v>
      </c>
      <c r="L37">
        <v>27.515000000000001</v>
      </c>
    </row>
    <row r="38" spans="1:12" x14ac:dyDescent="0.25">
      <c r="A38" t="s">
        <v>29</v>
      </c>
      <c r="B38" t="s">
        <v>151</v>
      </c>
      <c r="C38" s="10">
        <v>42332</v>
      </c>
      <c r="D38" t="s">
        <v>107</v>
      </c>
      <c r="E38" t="s">
        <v>108</v>
      </c>
      <c r="F38">
        <v>7000</v>
      </c>
      <c r="G38">
        <v>25.4</v>
      </c>
      <c r="H38">
        <v>43.5</v>
      </c>
      <c r="I38">
        <v>11.9</v>
      </c>
      <c r="J38">
        <v>15.78</v>
      </c>
      <c r="K38" s="10">
        <v>35.020000000000003</v>
      </c>
      <c r="L38">
        <v>25.4</v>
      </c>
    </row>
    <row r="39" spans="1:12" x14ac:dyDescent="0.25">
      <c r="A39" t="s">
        <v>32</v>
      </c>
      <c r="B39" t="s">
        <v>152</v>
      </c>
      <c r="C39" s="10">
        <v>42332</v>
      </c>
      <c r="D39" t="s">
        <v>129</v>
      </c>
      <c r="E39" t="s">
        <v>128</v>
      </c>
      <c r="F39">
        <v>3800</v>
      </c>
      <c r="G39">
        <v>16.559999999999999</v>
      </c>
      <c r="H39">
        <v>24.8</v>
      </c>
      <c r="I39">
        <v>1.7</v>
      </c>
      <c r="J39">
        <v>10.45</v>
      </c>
      <c r="K39" s="10">
        <v>22.68</v>
      </c>
      <c r="L39">
        <v>16.565000000000001</v>
      </c>
    </row>
    <row r="40" spans="1:12" x14ac:dyDescent="0.25">
      <c r="A40" t="s">
        <v>33</v>
      </c>
      <c r="B40" t="s">
        <v>153</v>
      </c>
      <c r="C40" s="10">
        <v>42332</v>
      </c>
      <c r="D40" t="s">
        <v>129</v>
      </c>
      <c r="E40" t="s">
        <v>128</v>
      </c>
      <c r="F40">
        <v>6500</v>
      </c>
      <c r="G40">
        <v>29.16</v>
      </c>
      <c r="H40">
        <v>43.7</v>
      </c>
      <c r="I40">
        <v>16.899999999999999</v>
      </c>
      <c r="J40">
        <v>21.79</v>
      </c>
      <c r="K40" s="10">
        <v>36.53</v>
      </c>
      <c r="L40">
        <v>29.16</v>
      </c>
    </row>
    <row r="41" spans="1:12" x14ac:dyDescent="0.25">
      <c r="A41" t="s">
        <v>31</v>
      </c>
      <c r="B41" t="s">
        <v>154</v>
      </c>
      <c r="C41" s="10">
        <v>42332</v>
      </c>
      <c r="D41" t="s">
        <v>107</v>
      </c>
      <c r="E41" t="s">
        <v>108</v>
      </c>
      <c r="F41">
        <v>3500</v>
      </c>
      <c r="G41">
        <v>13.27</v>
      </c>
      <c r="H41">
        <v>28.3</v>
      </c>
      <c r="I41">
        <v>4.2</v>
      </c>
      <c r="J41">
        <v>7.27</v>
      </c>
      <c r="K41" s="10">
        <v>19.260000000000002</v>
      </c>
      <c r="L41">
        <v>13.265000000000001</v>
      </c>
    </row>
    <row r="42" spans="1:12" x14ac:dyDescent="0.25">
      <c r="A42" t="s">
        <v>33</v>
      </c>
      <c r="B42" t="s">
        <v>155</v>
      </c>
      <c r="C42" s="10">
        <v>42332</v>
      </c>
      <c r="D42" t="s">
        <v>115</v>
      </c>
      <c r="E42" t="s">
        <v>116</v>
      </c>
      <c r="F42">
        <v>7600</v>
      </c>
      <c r="G42">
        <v>33.869999999999997</v>
      </c>
      <c r="H42">
        <v>56.6</v>
      </c>
      <c r="I42">
        <v>20.5</v>
      </c>
      <c r="J42">
        <v>23.18</v>
      </c>
      <c r="K42" s="10">
        <v>44.56</v>
      </c>
      <c r="L42">
        <v>33.869999999999997</v>
      </c>
    </row>
    <row r="43" spans="1:12" x14ac:dyDescent="0.25">
      <c r="A43" t="s">
        <v>33</v>
      </c>
      <c r="B43" t="s">
        <v>156</v>
      </c>
      <c r="C43" s="10">
        <v>42332</v>
      </c>
      <c r="D43" t="s">
        <v>125</v>
      </c>
      <c r="E43" t="s">
        <v>126</v>
      </c>
      <c r="F43">
        <v>3500</v>
      </c>
      <c r="G43">
        <v>10.65</v>
      </c>
      <c r="H43">
        <v>29.2</v>
      </c>
      <c r="I43">
        <v>-1</v>
      </c>
      <c r="J43">
        <v>1.1399999999999999</v>
      </c>
      <c r="K43" s="10">
        <v>20.16</v>
      </c>
      <c r="L43">
        <v>10.65</v>
      </c>
    </row>
    <row r="44" spans="1:12" x14ac:dyDescent="0.25">
      <c r="A44" t="s">
        <v>33</v>
      </c>
      <c r="B44" t="s">
        <v>157</v>
      </c>
      <c r="C44" s="10">
        <v>42332</v>
      </c>
      <c r="D44" t="s">
        <v>129</v>
      </c>
      <c r="E44" t="s">
        <v>128</v>
      </c>
      <c r="F44">
        <v>4600</v>
      </c>
      <c r="G44">
        <v>22.89</v>
      </c>
      <c r="H44">
        <v>31.3</v>
      </c>
      <c r="I44">
        <v>15.7</v>
      </c>
      <c r="J44">
        <v>17.34</v>
      </c>
      <c r="K44" s="10">
        <v>28.44</v>
      </c>
      <c r="L44">
        <v>22.89</v>
      </c>
    </row>
    <row r="45" spans="1:12" x14ac:dyDescent="0.25">
      <c r="A45" t="s">
        <v>29</v>
      </c>
      <c r="B45" t="s">
        <v>158</v>
      </c>
      <c r="C45" s="10">
        <v>42332</v>
      </c>
      <c r="D45" t="s">
        <v>107</v>
      </c>
      <c r="E45" t="s">
        <v>108</v>
      </c>
      <c r="F45">
        <v>3500</v>
      </c>
      <c r="G45">
        <v>10.36</v>
      </c>
      <c r="H45">
        <v>17.3</v>
      </c>
      <c r="I45">
        <v>3.4</v>
      </c>
      <c r="J45">
        <v>5.81</v>
      </c>
      <c r="K45" s="10">
        <v>14.91</v>
      </c>
      <c r="L45">
        <v>10.36</v>
      </c>
    </row>
    <row r="46" spans="1:12" x14ac:dyDescent="0.25">
      <c r="A46" t="s">
        <v>33</v>
      </c>
      <c r="B46" t="s">
        <v>159</v>
      </c>
      <c r="C46" s="10">
        <v>42332</v>
      </c>
      <c r="D46" t="s">
        <v>108</v>
      </c>
      <c r="E46" t="s">
        <v>107</v>
      </c>
      <c r="F46">
        <v>4400</v>
      </c>
      <c r="G46">
        <v>17.91</v>
      </c>
      <c r="H46">
        <v>35</v>
      </c>
      <c r="I46">
        <v>2.8</v>
      </c>
      <c r="J46">
        <v>9.0500000000000007</v>
      </c>
      <c r="K46" s="10">
        <v>26.78</v>
      </c>
      <c r="L46">
        <v>17.914999999999999</v>
      </c>
    </row>
    <row r="47" spans="1:12" x14ac:dyDescent="0.25">
      <c r="A47" t="s">
        <v>29</v>
      </c>
      <c r="B47" t="s">
        <v>160</v>
      </c>
      <c r="C47" s="10">
        <v>42332</v>
      </c>
      <c r="D47" t="s">
        <v>121</v>
      </c>
      <c r="E47" t="s">
        <v>120</v>
      </c>
      <c r="F47">
        <v>6200</v>
      </c>
      <c r="G47">
        <v>26.9</v>
      </c>
      <c r="H47">
        <v>39.1</v>
      </c>
      <c r="I47">
        <v>16.3</v>
      </c>
      <c r="J47">
        <v>19.54</v>
      </c>
      <c r="K47" s="10">
        <v>34.26</v>
      </c>
      <c r="L47">
        <v>26.9</v>
      </c>
    </row>
    <row r="48" spans="1:12" x14ac:dyDescent="0.25">
      <c r="A48" t="s">
        <v>31</v>
      </c>
      <c r="B48" t="s">
        <v>161</v>
      </c>
      <c r="C48" s="10">
        <v>42332</v>
      </c>
      <c r="D48" t="s">
        <v>111</v>
      </c>
      <c r="E48" t="s">
        <v>110</v>
      </c>
      <c r="F48">
        <v>5400</v>
      </c>
      <c r="G48">
        <v>21.08</v>
      </c>
      <c r="H48">
        <v>35</v>
      </c>
      <c r="I48">
        <v>10.3</v>
      </c>
      <c r="J48">
        <v>12.23</v>
      </c>
      <c r="K48" s="10">
        <v>29.94</v>
      </c>
      <c r="L48">
        <v>21.085000000000001</v>
      </c>
    </row>
    <row r="49" spans="1:12" x14ac:dyDescent="0.25">
      <c r="A49" t="s">
        <v>30</v>
      </c>
      <c r="B49" t="s">
        <v>162</v>
      </c>
      <c r="C49" s="10">
        <v>42332</v>
      </c>
      <c r="D49" t="s">
        <v>115</v>
      </c>
      <c r="E49" t="s">
        <v>116</v>
      </c>
      <c r="F49">
        <v>4300</v>
      </c>
      <c r="G49">
        <v>19.97</v>
      </c>
      <c r="H49">
        <v>30.4</v>
      </c>
      <c r="I49">
        <v>10</v>
      </c>
      <c r="J49">
        <v>13.86</v>
      </c>
      <c r="K49" s="10">
        <v>26.09</v>
      </c>
      <c r="L49">
        <v>19.975000000000001</v>
      </c>
    </row>
    <row r="50" spans="1:12" x14ac:dyDescent="0.25">
      <c r="A50" t="s">
        <v>29</v>
      </c>
      <c r="B50" t="s">
        <v>163</v>
      </c>
      <c r="C50" s="10">
        <v>42332</v>
      </c>
      <c r="D50" t="s">
        <v>125</v>
      </c>
      <c r="E50" t="s">
        <v>126</v>
      </c>
      <c r="F50">
        <v>3600</v>
      </c>
      <c r="G50">
        <v>12.11</v>
      </c>
      <c r="H50">
        <v>26.6</v>
      </c>
      <c r="I50">
        <v>1</v>
      </c>
      <c r="J50">
        <v>3.07</v>
      </c>
      <c r="K50" s="10">
        <v>21.16</v>
      </c>
      <c r="L50">
        <v>12.115</v>
      </c>
    </row>
    <row r="51" spans="1:12" x14ac:dyDescent="0.25">
      <c r="A51" t="s">
        <v>32</v>
      </c>
      <c r="B51" t="s">
        <v>164</v>
      </c>
      <c r="C51" s="10">
        <v>42332</v>
      </c>
      <c r="D51" t="s">
        <v>121</v>
      </c>
      <c r="E51" t="s">
        <v>120</v>
      </c>
      <c r="F51">
        <v>4100</v>
      </c>
      <c r="G51">
        <v>17.29</v>
      </c>
      <c r="H51">
        <v>27.3</v>
      </c>
      <c r="I51">
        <v>7.7</v>
      </c>
      <c r="J51">
        <v>10.66</v>
      </c>
      <c r="K51" s="10">
        <v>23.92</v>
      </c>
      <c r="L51">
        <v>17.29</v>
      </c>
    </row>
    <row r="52" spans="1:12" x14ac:dyDescent="0.25">
      <c r="A52" t="s">
        <v>32</v>
      </c>
      <c r="B52" t="s">
        <v>165</v>
      </c>
      <c r="C52" s="10">
        <v>42332</v>
      </c>
      <c r="D52" t="s">
        <v>125</v>
      </c>
      <c r="E52" t="s">
        <v>126</v>
      </c>
      <c r="F52">
        <v>3500</v>
      </c>
      <c r="G52">
        <v>11.32</v>
      </c>
      <c r="H52">
        <v>18.399999999999999</v>
      </c>
      <c r="I52">
        <v>1.2</v>
      </c>
      <c r="J52">
        <v>5.76</v>
      </c>
      <c r="K52" s="10">
        <v>16.88</v>
      </c>
      <c r="L52">
        <v>11.32</v>
      </c>
    </row>
    <row r="53" spans="1:12" x14ac:dyDescent="0.25">
      <c r="A53" t="s">
        <v>29</v>
      </c>
      <c r="B53" t="s">
        <v>101</v>
      </c>
      <c r="C53" s="10">
        <v>42332</v>
      </c>
      <c r="D53" t="s">
        <v>126</v>
      </c>
      <c r="E53" t="s">
        <v>125</v>
      </c>
      <c r="F53">
        <v>6300</v>
      </c>
      <c r="G53">
        <v>25.79</v>
      </c>
      <c r="H53">
        <v>40.4</v>
      </c>
      <c r="I53">
        <v>15.2</v>
      </c>
      <c r="J53">
        <v>17.77</v>
      </c>
      <c r="K53" s="10">
        <v>33.81</v>
      </c>
      <c r="L53">
        <v>25.79</v>
      </c>
    </row>
    <row r="54" spans="1:12" x14ac:dyDescent="0.25">
      <c r="A54" t="s">
        <v>32</v>
      </c>
      <c r="B54" t="s">
        <v>166</v>
      </c>
      <c r="C54" s="10">
        <v>42332</v>
      </c>
      <c r="D54" t="s">
        <v>108</v>
      </c>
      <c r="E54" t="s">
        <v>107</v>
      </c>
      <c r="F54">
        <v>3600</v>
      </c>
      <c r="G54">
        <v>8.9700000000000006</v>
      </c>
      <c r="H54">
        <v>14.4</v>
      </c>
      <c r="I54">
        <v>4.2</v>
      </c>
      <c r="J54">
        <v>5.25</v>
      </c>
      <c r="K54" s="10">
        <v>12.68</v>
      </c>
      <c r="L54">
        <v>8.9649999999999999</v>
      </c>
    </row>
    <row r="55" spans="1:12" x14ac:dyDescent="0.25">
      <c r="A55" t="s">
        <v>31</v>
      </c>
      <c r="B55" t="s">
        <v>167</v>
      </c>
      <c r="C55" s="10">
        <v>42332</v>
      </c>
      <c r="D55" t="s">
        <v>115</v>
      </c>
      <c r="E55" t="s">
        <v>116</v>
      </c>
      <c r="F55">
        <v>5500</v>
      </c>
      <c r="G55">
        <v>24.68</v>
      </c>
      <c r="H55">
        <v>34.299999999999997</v>
      </c>
      <c r="I55">
        <v>13.3</v>
      </c>
      <c r="J55">
        <v>18</v>
      </c>
      <c r="K55" s="10">
        <v>31.36</v>
      </c>
      <c r="L55">
        <v>24.68</v>
      </c>
    </row>
    <row r="56" spans="1:12" x14ac:dyDescent="0.25">
      <c r="A56" t="s">
        <v>32</v>
      </c>
      <c r="B56" t="s">
        <v>168</v>
      </c>
      <c r="C56" s="10">
        <v>42332</v>
      </c>
      <c r="D56" t="s">
        <v>115</v>
      </c>
      <c r="E56" t="s">
        <v>116</v>
      </c>
      <c r="F56">
        <v>3500</v>
      </c>
      <c r="G56">
        <v>6.18</v>
      </c>
      <c r="H56">
        <v>20.100000000000001</v>
      </c>
      <c r="I56">
        <v>-0.8</v>
      </c>
      <c r="J56">
        <v>0.82</v>
      </c>
      <c r="K56" s="10">
        <v>11.54</v>
      </c>
      <c r="L56">
        <v>6.18</v>
      </c>
    </row>
    <row r="57" spans="1:12" x14ac:dyDescent="0.25">
      <c r="A57" t="s">
        <v>30</v>
      </c>
      <c r="B57" t="s">
        <v>169</v>
      </c>
      <c r="C57" s="10">
        <v>42332</v>
      </c>
      <c r="D57" t="s">
        <v>126</v>
      </c>
      <c r="E57" t="s">
        <v>125</v>
      </c>
      <c r="F57">
        <v>4700</v>
      </c>
      <c r="G57">
        <v>20.350000000000001</v>
      </c>
      <c r="H57">
        <v>31.1</v>
      </c>
      <c r="I57">
        <v>-1</v>
      </c>
      <c r="J57">
        <v>12.41</v>
      </c>
      <c r="K57" s="10">
        <v>28.29</v>
      </c>
      <c r="L57">
        <v>20.350000000000001</v>
      </c>
    </row>
    <row r="58" spans="1:12" x14ac:dyDescent="0.25">
      <c r="A58" t="s">
        <v>29</v>
      </c>
      <c r="B58" t="s">
        <v>170</v>
      </c>
      <c r="C58" s="10">
        <v>42332</v>
      </c>
      <c r="D58" t="s">
        <v>111</v>
      </c>
      <c r="E58" t="s">
        <v>110</v>
      </c>
      <c r="F58">
        <v>7600</v>
      </c>
      <c r="G58">
        <v>33.47</v>
      </c>
      <c r="H58">
        <v>46</v>
      </c>
      <c r="I58">
        <v>21.6</v>
      </c>
      <c r="J58">
        <v>25.88</v>
      </c>
      <c r="K58" s="10">
        <v>41.05</v>
      </c>
      <c r="L58">
        <v>33.465000000000003</v>
      </c>
    </row>
    <row r="59" spans="1:12" x14ac:dyDescent="0.25">
      <c r="A59" t="s">
        <v>29</v>
      </c>
      <c r="B59" t="s">
        <v>171</v>
      </c>
      <c r="C59" s="10">
        <v>42332</v>
      </c>
      <c r="D59" t="s">
        <v>129</v>
      </c>
      <c r="E59" t="s">
        <v>128</v>
      </c>
      <c r="F59">
        <v>3700</v>
      </c>
      <c r="G59">
        <v>15.87</v>
      </c>
      <c r="H59">
        <v>26.6</v>
      </c>
      <c r="I59">
        <v>-0.8</v>
      </c>
      <c r="J59">
        <v>9.0500000000000007</v>
      </c>
      <c r="K59" s="10">
        <v>22.69</v>
      </c>
      <c r="L59">
        <v>15.87</v>
      </c>
    </row>
    <row r="60" spans="1:12" x14ac:dyDescent="0.25">
      <c r="A60" t="s">
        <v>33</v>
      </c>
      <c r="B60" t="s">
        <v>172</v>
      </c>
      <c r="C60" s="10">
        <v>42332</v>
      </c>
      <c r="D60" t="s">
        <v>121</v>
      </c>
      <c r="E60" t="s">
        <v>120</v>
      </c>
      <c r="F60">
        <v>4000</v>
      </c>
      <c r="G60">
        <v>16.38</v>
      </c>
      <c r="H60">
        <v>42.1</v>
      </c>
      <c r="I60">
        <v>3.8</v>
      </c>
      <c r="J60">
        <v>4.88</v>
      </c>
      <c r="K60" s="10">
        <v>27.87</v>
      </c>
      <c r="L60">
        <v>16.375</v>
      </c>
    </row>
    <row r="61" spans="1:12" x14ac:dyDescent="0.25">
      <c r="A61" t="s">
        <v>32</v>
      </c>
      <c r="B61" t="s">
        <v>173</v>
      </c>
      <c r="C61" s="10">
        <v>42332</v>
      </c>
      <c r="D61" t="s">
        <v>120</v>
      </c>
      <c r="E61" t="s">
        <v>121</v>
      </c>
      <c r="F61">
        <v>4500</v>
      </c>
      <c r="G61">
        <v>18.190000000000001</v>
      </c>
      <c r="H61">
        <v>28</v>
      </c>
      <c r="I61">
        <v>12</v>
      </c>
      <c r="J61">
        <v>13.52</v>
      </c>
      <c r="K61" s="10">
        <v>22.86</v>
      </c>
      <c r="L61">
        <v>18.190000000000001</v>
      </c>
    </row>
    <row r="62" spans="1:12" x14ac:dyDescent="0.25">
      <c r="A62" t="s">
        <v>31</v>
      </c>
      <c r="B62" t="s">
        <v>174</v>
      </c>
      <c r="C62" s="10">
        <v>42332</v>
      </c>
      <c r="D62" t="s">
        <v>111</v>
      </c>
      <c r="E62" t="s">
        <v>110</v>
      </c>
      <c r="F62">
        <v>5100</v>
      </c>
      <c r="G62">
        <v>24.73</v>
      </c>
      <c r="H62">
        <v>38</v>
      </c>
      <c r="I62">
        <v>8.4</v>
      </c>
      <c r="J62">
        <v>17.14</v>
      </c>
      <c r="K62" s="10">
        <v>32.31</v>
      </c>
      <c r="L62">
        <v>24.725000000000001</v>
      </c>
    </row>
    <row r="63" spans="1:12" x14ac:dyDescent="0.25">
      <c r="A63" t="s">
        <v>32</v>
      </c>
      <c r="B63" t="s">
        <v>175</v>
      </c>
      <c r="C63" s="10">
        <v>42332</v>
      </c>
      <c r="D63" t="s">
        <v>120</v>
      </c>
      <c r="E63" t="s">
        <v>121</v>
      </c>
      <c r="F63">
        <v>4600</v>
      </c>
      <c r="G63">
        <v>19.22</v>
      </c>
      <c r="H63">
        <v>55.2</v>
      </c>
      <c r="I63">
        <v>7</v>
      </c>
      <c r="J63">
        <v>7.76</v>
      </c>
      <c r="K63" s="10">
        <v>30.68</v>
      </c>
      <c r="L63">
        <v>19.22</v>
      </c>
    </row>
    <row r="64" spans="1:12" x14ac:dyDescent="0.25">
      <c r="A64" t="s">
        <v>29</v>
      </c>
      <c r="B64" t="s">
        <v>176</v>
      </c>
      <c r="C64" s="10">
        <v>42332</v>
      </c>
      <c r="D64" t="s">
        <v>121</v>
      </c>
      <c r="E64" t="s">
        <v>120</v>
      </c>
      <c r="F64">
        <v>4300</v>
      </c>
      <c r="G64">
        <v>16.53</v>
      </c>
      <c r="H64">
        <v>28.8</v>
      </c>
      <c r="I64">
        <v>5.4</v>
      </c>
      <c r="J64">
        <v>9.75</v>
      </c>
      <c r="K64" s="10">
        <v>23.3</v>
      </c>
      <c r="L64">
        <v>16.524999999999999</v>
      </c>
    </row>
    <row r="65" spans="1:12" x14ac:dyDescent="0.25">
      <c r="A65" t="s">
        <v>31</v>
      </c>
      <c r="B65" t="s">
        <v>177</v>
      </c>
      <c r="C65" s="10">
        <v>42332</v>
      </c>
      <c r="D65" t="s">
        <v>128</v>
      </c>
      <c r="E65" t="s">
        <v>129</v>
      </c>
      <c r="F65">
        <v>3500</v>
      </c>
      <c r="G65">
        <v>1.35</v>
      </c>
      <c r="H65">
        <v>1.5</v>
      </c>
      <c r="I65">
        <v>1.2</v>
      </c>
      <c r="J65">
        <v>1.2</v>
      </c>
      <c r="K65" s="10">
        <v>1.5</v>
      </c>
      <c r="L65">
        <v>1.35</v>
      </c>
    </row>
    <row r="66" spans="1:12" x14ac:dyDescent="0.25">
      <c r="A66" t="s">
        <v>33</v>
      </c>
      <c r="B66" t="s">
        <v>178</v>
      </c>
      <c r="C66" s="10">
        <v>42332</v>
      </c>
      <c r="D66" t="s">
        <v>115</v>
      </c>
      <c r="E66" t="s">
        <v>116</v>
      </c>
      <c r="F66">
        <v>3500</v>
      </c>
      <c r="G66">
        <v>6.41</v>
      </c>
      <c r="H66">
        <v>18.899999999999999</v>
      </c>
      <c r="I66">
        <v>1.5</v>
      </c>
      <c r="J66">
        <v>0.85</v>
      </c>
      <c r="K66" s="10">
        <v>11.98</v>
      </c>
      <c r="L66">
        <v>6.415</v>
      </c>
    </row>
    <row r="67" spans="1:12" x14ac:dyDescent="0.25">
      <c r="A67" t="s">
        <v>33</v>
      </c>
      <c r="B67" t="s">
        <v>179</v>
      </c>
      <c r="C67" s="10">
        <v>42332</v>
      </c>
      <c r="D67" t="s">
        <v>128</v>
      </c>
      <c r="E67" t="s">
        <v>129</v>
      </c>
      <c r="F67">
        <v>3600</v>
      </c>
      <c r="G67">
        <v>13.99</v>
      </c>
      <c r="H67">
        <v>25.4</v>
      </c>
      <c r="I67">
        <v>5.9</v>
      </c>
      <c r="J67">
        <v>7.93</v>
      </c>
      <c r="K67" s="10">
        <v>20.04</v>
      </c>
      <c r="L67">
        <v>13.984999999999999</v>
      </c>
    </row>
    <row r="68" spans="1:12" x14ac:dyDescent="0.25">
      <c r="A68" t="s">
        <v>31</v>
      </c>
      <c r="B68" t="s">
        <v>180</v>
      </c>
      <c r="C68" s="10">
        <v>42332</v>
      </c>
      <c r="D68" t="s">
        <v>125</v>
      </c>
      <c r="E68" t="s">
        <v>126</v>
      </c>
      <c r="F68">
        <v>3600</v>
      </c>
      <c r="G68">
        <v>13</v>
      </c>
      <c r="H68">
        <v>26.4</v>
      </c>
      <c r="I68">
        <v>6.1</v>
      </c>
      <c r="J68">
        <v>6.54</v>
      </c>
      <c r="K68" s="10">
        <v>19.46</v>
      </c>
      <c r="L68">
        <v>13</v>
      </c>
    </row>
    <row r="69" spans="1:12" x14ac:dyDescent="0.25">
      <c r="A69" t="s">
        <v>33</v>
      </c>
      <c r="B69" t="s">
        <v>181</v>
      </c>
      <c r="C69" s="10">
        <v>42332</v>
      </c>
      <c r="D69" t="s">
        <v>111</v>
      </c>
      <c r="E69" t="s">
        <v>110</v>
      </c>
      <c r="F69">
        <v>6000</v>
      </c>
      <c r="G69">
        <v>26.96</v>
      </c>
      <c r="H69">
        <v>39.1</v>
      </c>
      <c r="I69">
        <v>14.1</v>
      </c>
      <c r="J69">
        <v>19.98</v>
      </c>
      <c r="K69" s="10">
        <v>33.94</v>
      </c>
      <c r="L69">
        <v>26.96</v>
      </c>
    </row>
    <row r="70" spans="1:12" x14ac:dyDescent="0.25">
      <c r="A70" t="s">
        <v>33</v>
      </c>
      <c r="B70" t="s">
        <v>182</v>
      </c>
      <c r="C70" s="10">
        <v>42332</v>
      </c>
      <c r="D70" t="s">
        <v>115</v>
      </c>
      <c r="E70" t="s">
        <v>116</v>
      </c>
      <c r="F70">
        <v>3700</v>
      </c>
      <c r="G70">
        <v>5.4</v>
      </c>
      <c r="H70">
        <v>14.8</v>
      </c>
      <c r="I70">
        <v>1.2</v>
      </c>
      <c r="J70">
        <v>0.56999999999999995</v>
      </c>
      <c r="K70" s="10">
        <v>10.23</v>
      </c>
      <c r="L70">
        <v>5.4</v>
      </c>
    </row>
    <row r="71" spans="1:12" x14ac:dyDescent="0.25">
      <c r="A71" t="s">
        <v>30</v>
      </c>
      <c r="B71" t="s">
        <v>183</v>
      </c>
      <c r="C71" s="10">
        <v>42332</v>
      </c>
      <c r="D71" t="s">
        <v>129</v>
      </c>
      <c r="E71" t="s">
        <v>128</v>
      </c>
      <c r="F71">
        <v>3600</v>
      </c>
      <c r="G71">
        <v>13.2</v>
      </c>
      <c r="H71">
        <v>13.2</v>
      </c>
      <c r="I71">
        <v>13.2</v>
      </c>
      <c r="J71">
        <v>13.2</v>
      </c>
      <c r="K71" s="10">
        <v>13.2</v>
      </c>
      <c r="L71">
        <v>13.2</v>
      </c>
    </row>
    <row r="72" spans="1:12" x14ac:dyDescent="0.25">
      <c r="A72" t="s">
        <v>31</v>
      </c>
      <c r="B72" t="s">
        <v>184</v>
      </c>
      <c r="C72" s="10">
        <v>42332</v>
      </c>
      <c r="D72" t="s">
        <v>128</v>
      </c>
      <c r="E72" t="s">
        <v>129</v>
      </c>
      <c r="F72">
        <v>4500</v>
      </c>
      <c r="G72">
        <v>16.579999999999998</v>
      </c>
      <c r="H72">
        <v>31.5</v>
      </c>
      <c r="I72">
        <v>0.4</v>
      </c>
      <c r="J72">
        <v>7.42</v>
      </c>
      <c r="K72" s="10">
        <v>25.74</v>
      </c>
      <c r="L72">
        <v>16.579999999999998</v>
      </c>
    </row>
    <row r="73" spans="1:12" x14ac:dyDescent="0.25">
      <c r="A73" t="s">
        <v>29</v>
      </c>
      <c r="B73" t="s">
        <v>185</v>
      </c>
      <c r="C73" s="10">
        <v>42332</v>
      </c>
      <c r="D73" t="s">
        <v>110</v>
      </c>
      <c r="E73" t="s">
        <v>111</v>
      </c>
      <c r="F73">
        <v>7100</v>
      </c>
      <c r="G73">
        <v>30.63</v>
      </c>
      <c r="H73">
        <v>45.7</v>
      </c>
      <c r="I73">
        <v>12.3</v>
      </c>
      <c r="J73">
        <v>21.36</v>
      </c>
      <c r="K73" s="10">
        <v>39.909999999999997</v>
      </c>
      <c r="L73">
        <v>30.635000000000002</v>
      </c>
    </row>
    <row r="74" spans="1:12" x14ac:dyDescent="0.25">
      <c r="A74" t="s">
        <v>33</v>
      </c>
      <c r="B74" t="s">
        <v>186</v>
      </c>
      <c r="C74" s="10">
        <v>42332</v>
      </c>
      <c r="D74" t="s">
        <v>129</v>
      </c>
      <c r="E74" t="s">
        <v>128</v>
      </c>
      <c r="F74">
        <v>3500</v>
      </c>
      <c r="G74">
        <v>5.83</v>
      </c>
      <c r="H74">
        <v>18.2</v>
      </c>
      <c r="I74">
        <v>-1</v>
      </c>
      <c r="J74">
        <v>-0.56000000000000005</v>
      </c>
      <c r="K74" s="10">
        <v>12.22</v>
      </c>
      <c r="L74">
        <v>5.83</v>
      </c>
    </row>
    <row r="75" spans="1:12" x14ac:dyDescent="0.25">
      <c r="A75" t="s">
        <v>32</v>
      </c>
      <c r="B75" t="s">
        <v>97</v>
      </c>
      <c r="C75" s="10">
        <v>42332</v>
      </c>
      <c r="D75" t="s">
        <v>107</v>
      </c>
      <c r="E75" t="s">
        <v>108</v>
      </c>
      <c r="F75">
        <v>8400</v>
      </c>
      <c r="G75">
        <v>36.43</v>
      </c>
      <c r="H75">
        <v>54.3</v>
      </c>
      <c r="I75">
        <v>20.7</v>
      </c>
      <c r="J75">
        <v>27.85</v>
      </c>
      <c r="K75" s="10">
        <v>45.01</v>
      </c>
      <c r="L75">
        <v>36.43</v>
      </c>
    </row>
    <row r="76" spans="1:12" x14ac:dyDescent="0.25">
      <c r="A76" t="s">
        <v>30</v>
      </c>
      <c r="B76" t="s">
        <v>187</v>
      </c>
      <c r="C76" s="10">
        <v>42332</v>
      </c>
      <c r="D76" t="s">
        <v>107</v>
      </c>
      <c r="E76" t="s">
        <v>108</v>
      </c>
      <c r="F76">
        <v>4400</v>
      </c>
      <c r="G76">
        <v>18.350000000000001</v>
      </c>
      <c r="H76">
        <v>37.6</v>
      </c>
      <c r="I76">
        <v>5</v>
      </c>
      <c r="J76">
        <v>8.83</v>
      </c>
      <c r="K76" s="10">
        <v>27.88</v>
      </c>
      <c r="L76">
        <v>18.355</v>
      </c>
    </row>
    <row r="77" spans="1:12" x14ac:dyDescent="0.25">
      <c r="A77" t="s">
        <v>33</v>
      </c>
      <c r="B77" t="s">
        <v>188</v>
      </c>
      <c r="C77" s="10">
        <v>42332</v>
      </c>
      <c r="D77" t="s">
        <v>121</v>
      </c>
      <c r="E77" t="s">
        <v>120</v>
      </c>
      <c r="F77">
        <v>4000</v>
      </c>
      <c r="G77">
        <v>21.93</v>
      </c>
      <c r="H77">
        <v>24.9</v>
      </c>
      <c r="I77">
        <v>19</v>
      </c>
      <c r="J77">
        <v>19.52</v>
      </c>
      <c r="K77" s="10">
        <v>24.34</v>
      </c>
      <c r="L77">
        <v>21.93</v>
      </c>
    </row>
    <row r="78" spans="1:12" x14ac:dyDescent="0.25">
      <c r="A78" t="s">
        <v>32</v>
      </c>
      <c r="B78" t="s">
        <v>189</v>
      </c>
      <c r="C78" s="10">
        <v>42332</v>
      </c>
      <c r="D78" t="s">
        <v>129</v>
      </c>
      <c r="E78" t="s">
        <v>128</v>
      </c>
      <c r="F78">
        <v>3600</v>
      </c>
      <c r="G78">
        <v>13</v>
      </c>
      <c r="H78">
        <v>26.7</v>
      </c>
      <c r="I78">
        <v>5.9</v>
      </c>
      <c r="J78">
        <v>3.31</v>
      </c>
      <c r="K78" s="10">
        <v>22.69</v>
      </c>
      <c r="L78">
        <v>13</v>
      </c>
    </row>
    <row r="79" spans="1:12" x14ac:dyDescent="0.25">
      <c r="A79" t="s">
        <v>29</v>
      </c>
      <c r="B79" t="s">
        <v>190</v>
      </c>
      <c r="C79" s="10">
        <v>42332</v>
      </c>
      <c r="D79" t="s">
        <v>125</v>
      </c>
      <c r="E79" t="s">
        <v>126</v>
      </c>
      <c r="F79">
        <v>8800</v>
      </c>
      <c r="G79">
        <v>36.01</v>
      </c>
      <c r="H79">
        <v>49.4</v>
      </c>
      <c r="I79">
        <v>22.9</v>
      </c>
      <c r="J79">
        <v>27.79</v>
      </c>
      <c r="K79" s="10">
        <v>44.23</v>
      </c>
      <c r="L79">
        <v>36.01</v>
      </c>
    </row>
    <row r="80" spans="1:12" x14ac:dyDescent="0.25">
      <c r="A80" t="s">
        <v>33</v>
      </c>
      <c r="B80" t="s">
        <v>191</v>
      </c>
      <c r="C80" s="10">
        <v>42332</v>
      </c>
      <c r="D80" t="s">
        <v>111</v>
      </c>
      <c r="E80" t="s">
        <v>110</v>
      </c>
      <c r="F80">
        <v>3500</v>
      </c>
      <c r="G80">
        <v>8.0399999999999991</v>
      </c>
      <c r="H80">
        <v>15.1</v>
      </c>
      <c r="I80">
        <v>2.4</v>
      </c>
      <c r="J80">
        <v>4.17</v>
      </c>
      <c r="K80" s="10">
        <v>11.91</v>
      </c>
      <c r="L80">
        <v>8.0399999999999991</v>
      </c>
    </row>
    <row r="81" spans="1:12" x14ac:dyDescent="0.25">
      <c r="A81" t="s">
        <v>32</v>
      </c>
      <c r="B81" t="s">
        <v>192</v>
      </c>
      <c r="C81" s="10">
        <v>42332</v>
      </c>
      <c r="D81" t="s">
        <v>128</v>
      </c>
      <c r="E81" t="s">
        <v>129</v>
      </c>
      <c r="F81">
        <v>3500</v>
      </c>
      <c r="G81">
        <v>8.9499999999999993</v>
      </c>
      <c r="H81">
        <v>11.9</v>
      </c>
      <c r="I81">
        <v>6</v>
      </c>
      <c r="J81">
        <v>6</v>
      </c>
      <c r="K81" s="10">
        <v>11.9</v>
      </c>
      <c r="L81">
        <v>8.9499999999999993</v>
      </c>
    </row>
    <row r="82" spans="1:12" x14ac:dyDescent="0.25">
      <c r="A82" t="s">
        <v>29</v>
      </c>
      <c r="B82" t="s">
        <v>104</v>
      </c>
      <c r="C82" s="10">
        <v>42332</v>
      </c>
      <c r="D82" t="s">
        <v>116</v>
      </c>
      <c r="E82" t="s">
        <v>115</v>
      </c>
      <c r="F82">
        <v>5800</v>
      </c>
      <c r="G82">
        <v>22.64</v>
      </c>
      <c r="H82">
        <v>38.6</v>
      </c>
      <c r="I82">
        <v>11.9</v>
      </c>
      <c r="J82">
        <v>14.72</v>
      </c>
      <c r="K82" s="10">
        <v>30.56</v>
      </c>
      <c r="L82">
        <v>22.64</v>
      </c>
    </row>
    <row r="83" spans="1:12" x14ac:dyDescent="0.25">
      <c r="A83" t="s">
        <v>30</v>
      </c>
      <c r="B83" t="s">
        <v>193</v>
      </c>
      <c r="C83" s="10">
        <v>42332</v>
      </c>
      <c r="D83" t="s">
        <v>126</v>
      </c>
      <c r="E83" t="s">
        <v>125</v>
      </c>
      <c r="F83">
        <v>5200</v>
      </c>
      <c r="G83">
        <v>22.68</v>
      </c>
      <c r="H83">
        <v>40.700000000000003</v>
      </c>
      <c r="I83">
        <v>11.2</v>
      </c>
      <c r="J83">
        <v>14.97</v>
      </c>
      <c r="K83" s="10">
        <v>30.38</v>
      </c>
      <c r="L83">
        <v>22.675000000000001</v>
      </c>
    </row>
    <row r="84" spans="1:12" x14ac:dyDescent="0.25">
      <c r="A84" t="s">
        <v>33</v>
      </c>
      <c r="B84" t="s">
        <v>194</v>
      </c>
      <c r="C84" s="10">
        <v>42332</v>
      </c>
      <c r="D84" t="s">
        <v>111</v>
      </c>
      <c r="E84" t="s">
        <v>110</v>
      </c>
      <c r="F84">
        <v>3500</v>
      </c>
      <c r="G84">
        <v>6.05</v>
      </c>
      <c r="H84">
        <v>6.2</v>
      </c>
      <c r="I84">
        <v>5.9</v>
      </c>
      <c r="J84">
        <v>5.9</v>
      </c>
      <c r="K84" s="10">
        <v>6.2</v>
      </c>
      <c r="L84">
        <v>6.05</v>
      </c>
    </row>
    <row r="85" spans="1:12" x14ac:dyDescent="0.25">
      <c r="A85" t="s">
        <v>32</v>
      </c>
      <c r="B85" t="s">
        <v>195</v>
      </c>
      <c r="C85" s="10">
        <v>42332</v>
      </c>
      <c r="D85" t="s">
        <v>126</v>
      </c>
      <c r="E85" t="s">
        <v>125</v>
      </c>
      <c r="F85">
        <v>3500</v>
      </c>
      <c r="G85">
        <v>5.63</v>
      </c>
      <c r="H85">
        <v>11.7</v>
      </c>
      <c r="I85">
        <v>-1</v>
      </c>
      <c r="J85">
        <v>0.43</v>
      </c>
      <c r="K85" s="10">
        <v>10.83</v>
      </c>
      <c r="L85">
        <v>5.63</v>
      </c>
    </row>
    <row r="86" spans="1:12" x14ac:dyDescent="0.25">
      <c r="A86" t="s">
        <v>33</v>
      </c>
      <c r="B86" t="s">
        <v>196</v>
      </c>
      <c r="C86" s="10">
        <v>42332</v>
      </c>
      <c r="D86" t="s">
        <v>120</v>
      </c>
      <c r="E86" t="s">
        <v>121</v>
      </c>
      <c r="F86">
        <v>3900</v>
      </c>
      <c r="G86">
        <v>13.83</v>
      </c>
      <c r="H86">
        <v>18.600000000000001</v>
      </c>
      <c r="I86">
        <v>5.2</v>
      </c>
      <c r="J86">
        <v>8.93</v>
      </c>
      <c r="K86" s="10">
        <v>18.73</v>
      </c>
      <c r="L86">
        <v>13.83</v>
      </c>
    </row>
    <row r="87" spans="1:12" x14ac:dyDescent="0.25">
      <c r="A87" t="s">
        <v>33</v>
      </c>
      <c r="B87" t="s">
        <v>197</v>
      </c>
      <c r="C87" s="10">
        <v>42332</v>
      </c>
      <c r="D87" t="s">
        <v>116</v>
      </c>
      <c r="E87" t="s">
        <v>115</v>
      </c>
      <c r="F87">
        <v>5800</v>
      </c>
      <c r="G87">
        <v>25.89</v>
      </c>
      <c r="H87">
        <v>54</v>
      </c>
      <c r="I87">
        <v>1.9</v>
      </c>
      <c r="J87">
        <v>13.66</v>
      </c>
      <c r="K87" s="10">
        <v>38.119999999999997</v>
      </c>
      <c r="L87">
        <v>25.89</v>
      </c>
    </row>
    <row r="88" spans="1:12" x14ac:dyDescent="0.25">
      <c r="A88" t="s">
        <v>31</v>
      </c>
      <c r="B88" t="s">
        <v>198</v>
      </c>
      <c r="C88" s="10">
        <v>42332</v>
      </c>
      <c r="D88" t="s">
        <v>129</v>
      </c>
      <c r="E88" t="s">
        <v>128</v>
      </c>
      <c r="F88">
        <v>3500</v>
      </c>
      <c r="G88">
        <v>6.85</v>
      </c>
      <c r="H88">
        <v>15.7</v>
      </c>
      <c r="I88">
        <v>1.2</v>
      </c>
      <c r="J88">
        <v>0.99</v>
      </c>
      <c r="K88" s="10">
        <v>12.71</v>
      </c>
      <c r="L88">
        <v>6.85</v>
      </c>
    </row>
    <row r="89" spans="1:12" x14ac:dyDescent="0.25">
      <c r="A89" t="s">
        <v>32</v>
      </c>
      <c r="B89" t="s">
        <v>199</v>
      </c>
      <c r="C89" s="10">
        <v>42332</v>
      </c>
      <c r="D89" t="s">
        <v>110</v>
      </c>
      <c r="E89" t="s">
        <v>111</v>
      </c>
      <c r="F89">
        <v>3500</v>
      </c>
      <c r="G89">
        <v>8.6</v>
      </c>
      <c r="H89">
        <v>19.2</v>
      </c>
      <c r="I89">
        <v>1.2</v>
      </c>
      <c r="J89">
        <v>3.41</v>
      </c>
      <c r="K89" s="10">
        <v>13.79</v>
      </c>
      <c r="L89">
        <v>8.6</v>
      </c>
    </row>
    <row r="90" spans="1:12" x14ac:dyDescent="0.25">
      <c r="A90" t="s">
        <v>30</v>
      </c>
      <c r="B90" t="s">
        <v>200</v>
      </c>
      <c r="C90" s="10">
        <v>42332</v>
      </c>
      <c r="D90" t="s">
        <v>111</v>
      </c>
      <c r="E90" t="s">
        <v>110</v>
      </c>
      <c r="F90">
        <v>3800</v>
      </c>
      <c r="G90">
        <v>16.739999999999998</v>
      </c>
      <c r="H90">
        <v>40.4</v>
      </c>
      <c r="I90">
        <v>5.4</v>
      </c>
      <c r="J90">
        <v>7.44</v>
      </c>
      <c r="K90" s="10">
        <v>26.03</v>
      </c>
      <c r="L90">
        <v>16.734999999999999</v>
      </c>
    </row>
    <row r="91" spans="1:12" x14ac:dyDescent="0.25">
      <c r="A91" t="s">
        <v>31</v>
      </c>
      <c r="B91" t="s">
        <v>201</v>
      </c>
      <c r="C91" s="10">
        <v>42332</v>
      </c>
      <c r="D91" t="s">
        <v>125</v>
      </c>
      <c r="E91" t="s">
        <v>126</v>
      </c>
      <c r="F91">
        <v>3500</v>
      </c>
      <c r="G91">
        <v>9.9499999999999993</v>
      </c>
      <c r="H91">
        <v>13.6</v>
      </c>
      <c r="I91">
        <v>5.2</v>
      </c>
      <c r="J91">
        <v>6.86</v>
      </c>
      <c r="K91" s="10">
        <v>13.04</v>
      </c>
      <c r="L91">
        <v>9.9499999999999993</v>
      </c>
    </row>
    <row r="92" spans="1:12" x14ac:dyDescent="0.25">
      <c r="A92" t="s">
        <v>33</v>
      </c>
      <c r="B92" t="s">
        <v>202</v>
      </c>
      <c r="C92" s="10">
        <v>42332</v>
      </c>
      <c r="D92" t="s">
        <v>121</v>
      </c>
      <c r="E92" t="s">
        <v>120</v>
      </c>
      <c r="F92">
        <v>6500</v>
      </c>
      <c r="G92">
        <v>26.51</v>
      </c>
      <c r="H92">
        <v>43.5</v>
      </c>
      <c r="I92">
        <v>10.4</v>
      </c>
      <c r="J92">
        <v>16.760000000000002</v>
      </c>
      <c r="K92" s="10">
        <v>36.26</v>
      </c>
      <c r="L92">
        <v>26.51</v>
      </c>
    </row>
    <row r="93" spans="1:12" x14ac:dyDescent="0.25">
      <c r="A93" t="s">
        <v>32</v>
      </c>
      <c r="B93" t="s">
        <v>203</v>
      </c>
      <c r="C93" s="10">
        <v>42332</v>
      </c>
      <c r="D93" t="s">
        <v>110</v>
      </c>
      <c r="E93" t="s">
        <v>111</v>
      </c>
      <c r="F93">
        <v>5100</v>
      </c>
      <c r="G93">
        <v>23.25</v>
      </c>
      <c r="H93">
        <v>38.299999999999997</v>
      </c>
      <c r="I93">
        <v>5.9</v>
      </c>
      <c r="J93">
        <v>13.96</v>
      </c>
      <c r="K93" s="10">
        <v>32.549999999999997</v>
      </c>
      <c r="L93">
        <v>23.254999999999999</v>
      </c>
    </row>
    <row r="94" spans="1:12" x14ac:dyDescent="0.25">
      <c r="A94" t="s">
        <v>32</v>
      </c>
      <c r="B94" t="s">
        <v>204</v>
      </c>
      <c r="C94" s="10">
        <v>42332</v>
      </c>
      <c r="D94" t="s">
        <v>107</v>
      </c>
      <c r="E94" t="s">
        <v>108</v>
      </c>
      <c r="F94">
        <v>3800</v>
      </c>
      <c r="G94">
        <v>14.4</v>
      </c>
      <c r="H94">
        <v>26.4</v>
      </c>
      <c r="I94">
        <v>1.5</v>
      </c>
      <c r="J94">
        <v>4.96</v>
      </c>
      <c r="K94" s="10">
        <v>23.84</v>
      </c>
      <c r="L94">
        <v>14.4</v>
      </c>
    </row>
    <row r="95" spans="1:12" x14ac:dyDescent="0.25">
      <c r="A95" t="s">
        <v>32</v>
      </c>
      <c r="B95" t="s">
        <v>205</v>
      </c>
      <c r="C95" s="10">
        <v>42332</v>
      </c>
      <c r="D95" t="s">
        <v>115</v>
      </c>
      <c r="E95" t="s">
        <v>116</v>
      </c>
      <c r="F95">
        <v>6500</v>
      </c>
      <c r="G95">
        <v>25.78</v>
      </c>
      <c r="H95">
        <v>36.1</v>
      </c>
      <c r="I95">
        <v>13.4</v>
      </c>
      <c r="J95">
        <v>19.48</v>
      </c>
      <c r="K95" s="10">
        <v>32.07</v>
      </c>
      <c r="L95">
        <v>25.774999999999999</v>
      </c>
    </row>
    <row r="96" spans="1:12" x14ac:dyDescent="0.25">
      <c r="A96" t="s">
        <v>32</v>
      </c>
      <c r="B96" t="s">
        <v>206</v>
      </c>
      <c r="C96" s="10">
        <v>42332</v>
      </c>
      <c r="D96" t="s">
        <v>116</v>
      </c>
      <c r="E96" t="s">
        <v>115</v>
      </c>
      <c r="F96">
        <v>7200</v>
      </c>
      <c r="G96">
        <v>25.42</v>
      </c>
      <c r="H96">
        <v>34.299999999999997</v>
      </c>
      <c r="I96">
        <v>19.3</v>
      </c>
      <c r="J96">
        <v>20.71</v>
      </c>
      <c r="K96" s="10">
        <v>30.14</v>
      </c>
      <c r="L96">
        <v>25.425000000000001</v>
      </c>
    </row>
    <row r="97" spans="1:12" x14ac:dyDescent="0.25">
      <c r="A97" t="s">
        <v>31</v>
      </c>
      <c r="B97" t="s">
        <v>207</v>
      </c>
      <c r="C97" s="10">
        <v>42332</v>
      </c>
      <c r="D97" t="s">
        <v>121</v>
      </c>
      <c r="E97" t="s">
        <v>120</v>
      </c>
      <c r="F97">
        <v>3500</v>
      </c>
      <c r="G97">
        <v>6.2</v>
      </c>
      <c r="H97">
        <v>13.7</v>
      </c>
      <c r="I97">
        <v>0.2</v>
      </c>
      <c r="J97">
        <v>1.19</v>
      </c>
      <c r="K97" s="10">
        <v>11.21</v>
      </c>
      <c r="L97">
        <v>6.2</v>
      </c>
    </row>
    <row r="98" spans="1:12" x14ac:dyDescent="0.25">
      <c r="A98" t="s">
        <v>33</v>
      </c>
      <c r="B98" t="s">
        <v>208</v>
      </c>
      <c r="C98" s="10">
        <v>42332</v>
      </c>
      <c r="D98" t="s">
        <v>125</v>
      </c>
      <c r="E98" t="s">
        <v>126</v>
      </c>
      <c r="F98">
        <v>3800</v>
      </c>
      <c r="G98">
        <v>15.73</v>
      </c>
      <c r="H98">
        <v>32</v>
      </c>
      <c r="I98">
        <v>5</v>
      </c>
      <c r="J98">
        <v>8.5</v>
      </c>
      <c r="K98" s="10">
        <v>22.96</v>
      </c>
      <c r="L98">
        <v>15.73</v>
      </c>
    </row>
    <row r="99" spans="1:12" x14ac:dyDescent="0.25">
      <c r="A99" t="s">
        <v>32</v>
      </c>
      <c r="B99" t="s">
        <v>209</v>
      </c>
      <c r="C99" s="10">
        <v>42332</v>
      </c>
      <c r="D99" t="s">
        <v>110</v>
      </c>
      <c r="E99" t="s">
        <v>111</v>
      </c>
      <c r="F99">
        <v>4600</v>
      </c>
      <c r="G99">
        <v>18.73</v>
      </c>
      <c r="H99">
        <v>45.9</v>
      </c>
      <c r="I99">
        <v>8.9</v>
      </c>
      <c r="J99">
        <v>9.16</v>
      </c>
      <c r="K99" s="10">
        <v>28.3</v>
      </c>
      <c r="L99">
        <v>18.73</v>
      </c>
    </row>
    <row r="100" spans="1:12" x14ac:dyDescent="0.25">
      <c r="A100" t="s">
        <v>32</v>
      </c>
      <c r="B100" t="s">
        <v>210</v>
      </c>
      <c r="C100" s="10">
        <v>42332</v>
      </c>
      <c r="D100" t="s">
        <v>110</v>
      </c>
      <c r="E100" t="s">
        <v>111</v>
      </c>
      <c r="F100">
        <v>3500</v>
      </c>
      <c r="G100">
        <v>9.6</v>
      </c>
      <c r="H100">
        <v>19</v>
      </c>
      <c r="I100">
        <v>3.2</v>
      </c>
      <c r="J100">
        <v>4.6500000000000004</v>
      </c>
      <c r="K100" s="10">
        <v>14.55</v>
      </c>
      <c r="L100">
        <v>9.6</v>
      </c>
    </row>
    <row r="101" spans="1:12" x14ac:dyDescent="0.25">
      <c r="A101" t="s">
        <v>32</v>
      </c>
      <c r="B101" t="s">
        <v>211</v>
      </c>
      <c r="C101" s="10">
        <v>42332</v>
      </c>
      <c r="D101" t="s">
        <v>120</v>
      </c>
      <c r="E101" t="s">
        <v>121</v>
      </c>
      <c r="F101">
        <v>3500</v>
      </c>
      <c r="G101">
        <v>10.33</v>
      </c>
      <c r="H101">
        <v>22</v>
      </c>
      <c r="I101">
        <v>-1</v>
      </c>
      <c r="J101">
        <v>3.49</v>
      </c>
      <c r="K101" s="10">
        <v>17.18</v>
      </c>
      <c r="L101">
        <v>10.335000000000001</v>
      </c>
    </row>
    <row r="102" spans="1:12" x14ac:dyDescent="0.25">
      <c r="A102" t="s">
        <v>33</v>
      </c>
      <c r="B102" t="s">
        <v>212</v>
      </c>
      <c r="C102" s="10">
        <v>42332</v>
      </c>
      <c r="D102" t="s">
        <v>116</v>
      </c>
      <c r="E102" t="s">
        <v>115</v>
      </c>
      <c r="F102">
        <v>3500</v>
      </c>
      <c r="G102">
        <v>9.34</v>
      </c>
      <c r="H102">
        <v>18.100000000000001</v>
      </c>
      <c r="I102">
        <v>5.4</v>
      </c>
      <c r="J102">
        <v>5.39</v>
      </c>
      <c r="K102" s="10">
        <v>13.29</v>
      </c>
      <c r="L102">
        <v>9.34</v>
      </c>
    </row>
    <row r="103" spans="1:12" x14ac:dyDescent="0.25">
      <c r="A103" t="s">
        <v>33</v>
      </c>
      <c r="B103" t="s">
        <v>213</v>
      </c>
      <c r="C103" s="10">
        <v>42332</v>
      </c>
      <c r="D103" t="s">
        <v>126</v>
      </c>
      <c r="E103" t="s">
        <v>125</v>
      </c>
      <c r="F103">
        <v>4000</v>
      </c>
      <c r="G103">
        <v>14.88</v>
      </c>
      <c r="H103">
        <v>26.1</v>
      </c>
      <c r="I103">
        <v>2.7</v>
      </c>
      <c r="J103">
        <v>8.1</v>
      </c>
      <c r="K103" s="10">
        <v>21.67</v>
      </c>
      <c r="L103">
        <v>14.885</v>
      </c>
    </row>
    <row r="104" spans="1:12" x14ac:dyDescent="0.25">
      <c r="A104" t="s">
        <v>32</v>
      </c>
      <c r="B104" t="s">
        <v>214</v>
      </c>
      <c r="C104" s="10">
        <v>42332</v>
      </c>
      <c r="D104" t="s">
        <v>115</v>
      </c>
      <c r="E104" t="s">
        <v>116</v>
      </c>
      <c r="F104">
        <v>3500</v>
      </c>
      <c r="G104">
        <v>11.43</v>
      </c>
      <c r="H104">
        <v>18.5</v>
      </c>
      <c r="I104">
        <v>4.5</v>
      </c>
      <c r="J104">
        <v>7.76</v>
      </c>
      <c r="K104" s="10">
        <v>15.09</v>
      </c>
      <c r="L104">
        <v>11.425000000000001</v>
      </c>
    </row>
    <row r="105" spans="1:12" x14ac:dyDescent="0.25">
      <c r="A105" t="s">
        <v>32</v>
      </c>
      <c r="B105" t="s">
        <v>215</v>
      </c>
      <c r="C105" s="10">
        <v>42332</v>
      </c>
      <c r="D105" t="s">
        <v>116</v>
      </c>
      <c r="E105" t="s">
        <v>115</v>
      </c>
      <c r="F105">
        <v>4700</v>
      </c>
      <c r="G105">
        <v>20.48</v>
      </c>
      <c r="H105">
        <v>41</v>
      </c>
      <c r="I105">
        <v>14.5</v>
      </c>
      <c r="J105">
        <v>13.55</v>
      </c>
      <c r="K105" s="10">
        <v>27.42</v>
      </c>
      <c r="L105">
        <v>20.484999999999999</v>
      </c>
    </row>
    <row r="106" spans="1:12" x14ac:dyDescent="0.25">
      <c r="A106" t="s">
        <v>31</v>
      </c>
      <c r="B106" t="s">
        <v>216</v>
      </c>
      <c r="C106" s="10">
        <v>42332</v>
      </c>
      <c r="D106" t="s">
        <v>120</v>
      </c>
      <c r="E106" t="s">
        <v>121</v>
      </c>
      <c r="F106">
        <v>3500</v>
      </c>
      <c r="G106">
        <v>5.45</v>
      </c>
      <c r="H106">
        <v>13.4</v>
      </c>
      <c r="I106">
        <v>1.5</v>
      </c>
      <c r="J106">
        <v>1.63</v>
      </c>
      <c r="K106" s="10">
        <v>9.27</v>
      </c>
      <c r="L106">
        <v>5.45</v>
      </c>
    </row>
    <row r="107" spans="1:12" x14ac:dyDescent="0.25">
      <c r="A107" t="s">
        <v>31</v>
      </c>
      <c r="B107" t="s">
        <v>217</v>
      </c>
      <c r="C107" s="10">
        <v>42332</v>
      </c>
      <c r="D107" t="s">
        <v>108</v>
      </c>
      <c r="E107" t="s">
        <v>107</v>
      </c>
      <c r="F107">
        <v>3500</v>
      </c>
      <c r="G107">
        <v>1.6</v>
      </c>
      <c r="H107">
        <v>3</v>
      </c>
      <c r="I107">
        <v>0.2</v>
      </c>
      <c r="J107">
        <v>0.2</v>
      </c>
      <c r="K107" s="10">
        <v>3</v>
      </c>
      <c r="L107">
        <v>1.6</v>
      </c>
    </row>
    <row r="108" spans="1:12" x14ac:dyDescent="0.25">
      <c r="A108" t="s">
        <v>30</v>
      </c>
      <c r="B108" t="s">
        <v>99</v>
      </c>
      <c r="C108" s="10">
        <v>42332</v>
      </c>
      <c r="D108" t="s">
        <v>128</v>
      </c>
      <c r="E108" t="s">
        <v>129</v>
      </c>
      <c r="F108">
        <v>7800</v>
      </c>
      <c r="G108">
        <v>30.44</v>
      </c>
      <c r="H108">
        <v>51.7</v>
      </c>
      <c r="I108">
        <v>14.4</v>
      </c>
      <c r="J108">
        <v>20.48</v>
      </c>
      <c r="K108" s="10">
        <v>40.39</v>
      </c>
      <c r="L108">
        <v>30.434999999999999</v>
      </c>
    </row>
    <row r="109" spans="1:12" x14ac:dyDescent="0.25">
      <c r="A109" t="s">
        <v>29</v>
      </c>
      <c r="B109" t="s">
        <v>218</v>
      </c>
      <c r="C109" s="10">
        <v>42332</v>
      </c>
      <c r="D109" t="s">
        <v>116</v>
      </c>
      <c r="E109" t="s">
        <v>115</v>
      </c>
      <c r="F109">
        <v>3500</v>
      </c>
      <c r="G109">
        <v>9.9</v>
      </c>
      <c r="H109">
        <v>16.100000000000001</v>
      </c>
      <c r="I109">
        <v>1.7</v>
      </c>
      <c r="J109">
        <v>5.58</v>
      </c>
      <c r="K109" s="10">
        <v>14.22</v>
      </c>
      <c r="L109">
        <v>9.9</v>
      </c>
    </row>
    <row r="110" spans="1:12" x14ac:dyDescent="0.25">
      <c r="A110" t="s">
        <v>30</v>
      </c>
      <c r="B110" t="s">
        <v>219</v>
      </c>
      <c r="C110" s="10">
        <v>42332</v>
      </c>
      <c r="D110" t="s">
        <v>125</v>
      </c>
      <c r="E110" t="s">
        <v>126</v>
      </c>
      <c r="F110">
        <v>5800</v>
      </c>
      <c r="G110">
        <v>23.31</v>
      </c>
      <c r="H110">
        <v>34.1</v>
      </c>
      <c r="I110">
        <v>14.5</v>
      </c>
      <c r="J110">
        <v>18.309999999999999</v>
      </c>
      <c r="K110" s="10">
        <v>28.31</v>
      </c>
      <c r="L110">
        <v>23.31</v>
      </c>
    </row>
    <row r="111" spans="1:12" x14ac:dyDescent="0.25">
      <c r="A111" t="s">
        <v>29</v>
      </c>
      <c r="B111" t="s">
        <v>220</v>
      </c>
      <c r="C111" s="10">
        <v>42332</v>
      </c>
      <c r="D111" t="s">
        <v>111</v>
      </c>
      <c r="E111" t="s">
        <v>110</v>
      </c>
      <c r="F111">
        <v>5300</v>
      </c>
      <c r="G111">
        <v>19.21</v>
      </c>
      <c r="H111">
        <v>32.9</v>
      </c>
      <c r="I111">
        <v>9.3000000000000007</v>
      </c>
      <c r="J111">
        <v>10.58</v>
      </c>
      <c r="K111" s="10">
        <v>27.85</v>
      </c>
      <c r="L111">
        <v>19.215</v>
      </c>
    </row>
    <row r="112" spans="1:12" x14ac:dyDescent="0.25">
      <c r="A112" t="s">
        <v>29</v>
      </c>
      <c r="B112" t="s">
        <v>221</v>
      </c>
      <c r="C112" s="10">
        <v>42332</v>
      </c>
      <c r="D112" t="s">
        <v>128</v>
      </c>
      <c r="E112" t="s">
        <v>129</v>
      </c>
      <c r="F112">
        <v>4300</v>
      </c>
      <c r="G112">
        <v>18.28</v>
      </c>
      <c r="H112">
        <v>33.9</v>
      </c>
      <c r="I112">
        <v>6.7</v>
      </c>
      <c r="J112">
        <v>10.56</v>
      </c>
      <c r="K112" s="10">
        <v>26</v>
      </c>
      <c r="L112">
        <v>18.28</v>
      </c>
    </row>
    <row r="113" spans="1:12" x14ac:dyDescent="0.25">
      <c r="A113" t="s">
        <v>33</v>
      </c>
      <c r="B113" t="s">
        <v>222</v>
      </c>
      <c r="C113" s="10">
        <v>42332</v>
      </c>
      <c r="D113" t="s">
        <v>115</v>
      </c>
      <c r="E113" t="s">
        <v>116</v>
      </c>
      <c r="F113">
        <v>3500</v>
      </c>
      <c r="G113">
        <v>10.58</v>
      </c>
      <c r="H113">
        <v>22.3</v>
      </c>
      <c r="I113">
        <v>3</v>
      </c>
      <c r="J113">
        <v>5.1100000000000003</v>
      </c>
      <c r="K113" s="10">
        <v>16.059999999999999</v>
      </c>
      <c r="L113">
        <v>10.585000000000001</v>
      </c>
    </row>
    <row r="114" spans="1:12" x14ac:dyDescent="0.25">
      <c r="A114" t="s">
        <v>30</v>
      </c>
      <c r="B114" t="s">
        <v>223</v>
      </c>
      <c r="C114" s="10">
        <v>42332</v>
      </c>
      <c r="D114" t="s">
        <v>108</v>
      </c>
      <c r="E114" t="s">
        <v>107</v>
      </c>
      <c r="F114">
        <v>6000</v>
      </c>
      <c r="G114">
        <v>26.83</v>
      </c>
      <c r="H114">
        <v>40.200000000000003</v>
      </c>
      <c r="I114">
        <v>12.8</v>
      </c>
      <c r="J114">
        <v>18.739999999999998</v>
      </c>
      <c r="K114" s="10">
        <v>34.92</v>
      </c>
      <c r="L114">
        <v>26.83</v>
      </c>
    </row>
    <row r="115" spans="1:12" x14ac:dyDescent="0.25">
      <c r="A115" t="s">
        <v>31</v>
      </c>
      <c r="B115" t="s">
        <v>224</v>
      </c>
      <c r="C115" s="10">
        <v>42332</v>
      </c>
      <c r="D115" t="s">
        <v>128</v>
      </c>
      <c r="E115" t="s">
        <v>129</v>
      </c>
      <c r="F115">
        <v>3800</v>
      </c>
      <c r="G115">
        <v>15.01</v>
      </c>
      <c r="H115">
        <v>28.4</v>
      </c>
      <c r="I115">
        <v>1.2</v>
      </c>
      <c r="J115">
        <v>6.84</v>
      </c>
      <c r="K115" s="10">
        <v>23.18</v>
      </c>
      <c r="L115">
        <v>15.01</v>
      </c>
    </row>
    <row r="116" spans="1:12" x14ac:dyDescent="0.25">
      <c r="A116" t="s">
        <v>31</v>
      </c>
      <c r="B116" t="s">
        <v>225</v>
      </c>
      <c r="C116" s="10">
        <v>42332</v>
      </c>
      <c r="D116" t="s">
        <v>116</v>
      </c>
      <c r="E116" t="s">
        <v>115</v>
      </c>
      <c r="F116">
        <v>3500</v>
      </c>
      <c r="G116">
        <v>12.6</v>
      </c>
      <c r="H116">
        <v>20.5</v>
      </c>
      <c r="I116">
        <v>4.9000000000000004</v>
      </c>
      <c r="J116">
        <v>6.46</v>
      </c>
      <c r="K116" s="10">
        <v>18.739999999999998</v>
      </c>
      <c r="L116">
        <v>12.6</v>
      </c>
    </row>
    <row r="117" spans="1:12" x14ac:dyDescent="0.25">
      <c r="A117" t="s">
        <v>30</v>
      </c>
      <c r="B117" t="s">
        <v>226</v>
      </c>
      <c r="C117" s="10">
        <v>42332</v>
      </c>
      <c r="D117" t="s">
        <v>108</v>
      </c>
      <c r="E117" t="s">
        <v>107</v>
      </c>
      <c r="F117">
        <v>4400</v>
      </c>
      <c r="G117">
        <v>16.940000000000001</v>
      </c>
      <c r="H117">
        <v>28.1</v>
      </c>
      <c r="I117">
        <v>4.5999999999999996</v>
      </c>
      <c r="J117">
        <v>9.25</v>
      </c>
      <c r="K117" s="10">
        <v>24.64</v>
      </c>
      <c r="L117">
        <v>16.945</v>
      </c>
    </row>
    <row r="118" spans="1:12" x14ac:dyDescent="0.25">
      <c r="A118" t="s">
        <v>29</v>
      </c>
      <c r="B118" t="s">
        <v>227</v>
      </c>
      <c r="C118" s="10">
        <v>42332</v>
      </c>
      <c r="D118" t="s">
        <v>128</v>
      </c>
      <c r="E118" t="s">
        <v>129</v>
      </c>
      <c r="F118">
        <v>6900</v>
      </c>
      <c r="G118">
        <v>29.36</v>
      </c>
      <c r="H118">
        <v>44.3</v>
      </c>
      <c r="I118">
        <v>11.9</v>
      </c>
      <c r="J118">
        <v>20.99</v>
      </c>
      <c r="K118" s="10">
        <v>37.72</v>
      </c>
      <c r="L118">
        <v>29.355</v>
      </c>
    </row>
    <row r="119" spans="1:12" x14ac:dyDescent="0.25">
      <c r="A119" t="s">
        <v>31</v>
      </c>
      <c r="B119" t="s">
        <v>228</v>
      </c>
      <c r="C119" s="10">
        <v>42332</v>
      </c>
      <c r="D119" t="s">
        <v>121</v>
      </c>
      <c r="E119" t="s">
        <v>120</v>
      </c>
      <c r="F119">
        <v>3500</v>
      </c>
      <c r="G119">
        <v>5.28</v>
      </c>
      <c r="H119">
        <v>11.4</v>
      </c>
      <c r="I119">
        <v>1.4</v>
      </c>
      <c r="J119">
        <v>1.59</v>
      </c>
      <c r="K119" s="10">
        <v>8.9700000000000006</v>
      </c>
      <c r="L119">
        <v>5.28</v>
      </c>
    </row>
    <row r="120" spans="1:12" x14ac:dyDescent="0.25">
      <c r="A120" t="s">
        <v>33</v>
      </c>
      <c r="B120" t="s">
        <v>229</v>
      </c>
      <c r="C120" s="10">
        <v>42332</v>
      </c>
      <c r="D120" t="s">
        <v>110</v>
      </c>
      <c r="E120" t="s">
        <v>111</v>
      </c>
      <c r="F120">
        <v>3500</v>
      </c>
      <c r="G120">
        <v>7.76</v>
      </c>
      <c r="H120">
        <v>11.4</v>
      </c>
      <c r="I120">
        <v>0.2</v>
      </c>
      <c r="J120">
        <v>4.1900000000000004</v>
      </c>
      <c r="K120" s="10">
        <v>11.32</v>
      </c>
      <c r="L120">
        <v>7.7549999999999999</v>
      </c>
    </row>
    <row r="121" spans="1:12" x14ac:dyDescent="0.25">
      <c r="A121" t="s">
        <v>31</v>
      </c>
      <c r="B121" t="s">
        <v>230</v>
      </c>
      <c r="C121" s="10">
        <v>42332</v>
      </c>
      <c r="D121" t="s">
        <v>110</v>
      </c>
      <c r="E121" t="s">
        <v>111</v>
      </c>
      <c r="F121">
        <v>3500</v>
      </c>
      <c r="G121">
        <v>8.48</v>
      </c>
      <c r="H121">
        <v>14.8</v>
      </c>
      <c r="I121">
        <v>4.7</v>
      </c>
      <c r="J121">
        <v>5.29</v>
      </c>
      <c r="K121" s="10">
        <v>11.68</v>
      </c>
      <c r="L121">
        <v>8.4849999999999994</v>
      </c>
    </row>
    <row r="122" spans="1:12" x14ac:dyDescent="0.25">
      <c r="A122" t="s">
        <v>31</v>
      </c>
      <c r="B122" t="s">
        <v>231</v>
      </c>
      <c r="C122" s="10">
        <v>42332</v>
      </c>
      <c r="D122" t="s">
        <v>108</v>
      </c>
      <c r="E122" t="s">
        <v>107</v>
      </c>
      <c r="F122">
        <v>3500</v>
      </c>
      <c r="G122">
        <v>13.21</v>
      </c>
      <c r="H122">
        <v>31</v>
      </c>
      <c r="I122">
        <v>1.2</v>
      </c>
      <c r="J122">
        <v>5.8</v>
      </c>
      <c r="K122" s="10">
        <v>20.63</v>
      </c>
      <c r="L122">
        <v>13.215</v>
      </c>
    </row>
    <row r="123" spans="1:12" x14ac:dyDescent="0.25">
      <c r="A123" t="s">
        <v>32</v>
      </c>
      <c r="B123" t="s">
        <v>100</v>
      </c>
      <c r="C123" s="10">
        <v>42332</v>
      </c>
      <c r="D123" t="s">
        <v>126</v>
      </c>
      <c r="E123" t="s">
        <v>125</v>
      </c>
      <c r="F123">
        <v>6700</v>
      </c>
      <c r="G123">
        <v>26.56</v>
      </c>
      <c r="H123">
        <v>39.1</v>
      </c>
      <c r="I123">
        <v>11.9</v>
      </c>
      <c r="J123">
        <v>18.62</v>
      </c>
      <c r="K123" s="10">
        <v>34.5</v>
      </c>
      <c r="L123">
        <v>26.56</v>
      </c>
    </row>
    <row r="124" spans="1:12" x14ac:dyDescent="0.25">
      <c r="A124" t="s">
        <v>33</v>
      </c>
      <c r="B124" t="s">
        <v>232</v>
      </c>
      <c r="C124" s="10">
        <v>42332</v>
      </c>
      <c r="D124" t="s">
        <v>126</v>
      </c>
      <c r="E124" t="s">
        <v>125</v>
      </c>
      <c r="F124">
        <v>3500</v>
      </c>
      <c r="G124">
        <v>13.16</v>
      </c>
      <c r="H124">
        <v>18.8</v>
      </c>
      <c r="I124">
        <v>3.4</v>
      </c>
      <c r="J124">
        <v>8.26</v>
      </c>
      <c r="K124" s="10">
        <v>18.05</v>
      </c>
      <c r="L124">
        <v>13.154999999999999</v>
      </c>
    </row>
    <row r="125" spans="1:12" x14ac:dyDescent="0.25">
      <c r="A125" t="s">
        <v>33</v>
      </c>
      <c r="B125" t="s">
        <v>233</v>
      </c>
      <c r="C125" s="10">
        <v>42332</v>
      </c>
      <c r="D125" t="s">
        <v>125</v>
      </c>
      <c r="E125" t="s">
        <v>126</v>
      </c>
      <c r="F125">
        <v>4300</v>
      </c>
      <c r="G125">
        <v>18.29</v>
      </c>
      <c r="H125">
        <v>31.5</v>
      </c>
      <c r="I125">
        <v>5.9</v>
      </c>
      <c r="J125">
        <v>9.2899999999999991</v>
      </c>
      <c r="K125" s="10">
        <v>27.28</v>
      </c>
      <c r="L125">
        <v>18.285</v>
      </c>
    </row>
    <row r="126" spans="1:12" x14ac:dyDescent="0.25">
      <c r="A126" t="s">
        <v>32</v>
      </c>
      <c r="B126" t="s">
        <v>234</v>
      </c>
      <c r="C126" s="10">
        <v>42332</v>
      </c>
      <c r="D126" t="s">
        <v>116</v>
      </c>
      <c r="E126" t="s">
        <v>115</v>
      </c>
      <c r="F126">
        <v>3500</v>
      </c>
      <c r="G126">
        <v>13.55</v>
      </c>
      <c r="H126">
        <v>29.9</v>
      </c>
      <c r="I126">
        <v>7.6</v>
      </c>
      <c r="J126">
        <v>6.73</v>
      </c>
      <c r="K126" s="10">
        <v>20.37</v>
      </c>
      <c r="L126">
        <v>13.55</v>
      </c>
    </row>
    <row r="127" spans="1:12" x14ac:dyDescent="0.25">
      <c r="A127" t="s">
        <v>30</v>
      </c>
      <c r="B127" t="s">
        <v>235</v>
      </c>
      <c r="C127" s="10">
        <v>42332</v>
      </c>
      <c r="D127" t="s">
        <v>121</v>
      </c>
      <c r="E127" t="s">
        <v>120</v>
      </c>
      <c r="F127">
        <v>4300</v>
      </c>
      <c r="G127">
        <v>16.55</v>
      </c>
      <c r="H127">
        <v>47.4</v>
      </c>
      <c r="I127">
        <v>1</v>
      </c>
      <c r="J127">
        <v>4.53</v>
      </c>
      <c r="K127" s="10">
        <v>28.57</v>
      </c>
      <c r="L127">
        <v>16.55</v>
      </c>
    </row>
    <row r="128" spans="1:12" x14ac:dyDescent="0.25">
      <c r="A128" t="s">
        <v>31</v>
      </c>
      <c r="B128" t="s">
        <v>236</v>
      </c>
      <c r="C128" s="10">
        <v>42332</v>
      </c>
      <c r="D128" t="s">
        <v>107</v>
      </c>
      <c r="E128" t="s">
        <v>108</v>
      </c>
      <c r="F128">
        <v>5700</v>
      </c>
      <c r="G128">
        <v>22.16</v>
      </c>
      <c r="H128">
        <v>38.5</v>
      </c>
      <c r="I128">
        <v>6.3</v>
      </c>
      <c r="J128">
        <v>11.71</v>
      </c>
      <c r="K128" s="10">
        <v>32.61</v>
      </c>
      <c r="L128">
        <v>22.16</v>
      </c>
    </row>
    <row r="129" spans="1:12" x14ac:dyDescent="0.25">
      <c r="A129" t="s">
        <v>33</v>
      </c>
      <c r="B129" t="s">
        <v>237</v>
      </c>
      <c r="C129" s="10">
        <v>42332</v>
      </c>
      <c r="D129" t="s">
        <v>108</v>
      </c>
      <c r="E129" t="s">
        <v>107</v>
      </c>
      <c r="F129">
        <v>3500</v>
      </c>
      <c r="G129">
        <v>7.1</v>
      </c>
      <c r="H129">
        <v>12.7</v>
      </c>
      <c r="I129">
        <v>1</v>
      </c>
      <c r="J129">
        <v>3.79</v>
      </c>
      <c r="K129" s="10">
        <v>10.41</v>
      </c>
      <c r="L129">
        <v>7.1</v>
      </c>
    </row>
    <row r="130" spans="1:12" x14ac:dyDescent="0.25">
      <c r="A130" t="s">
        <v>31</v>
      </c>
      <c r="B130" t="s">
        <v>102</v>
      </c>
      <c r="C130" s="10">
        <v>42332</v>
      </c>
      <c r="D130" t="s">
        <v>125</v>
      </c>
      <c r="E130" t="s">
        <v>126</v>
      </c>
      <c r="F130">
        <v>5800</v>
      </c>
      <c r="G130">
        <v>26.48</v>
      </c>
      <c r="H130">
        <v>36</v>
      </c>
      <c r="I130">
        <v>15.7</v>
      </c>
      <c r="J130">
        <v>20.13</v>
      </c>
      <c r="K130" s="10">
        <v>32.83</v>
      </c>
      <c r="L130">
        <v>26.48</v>
      </c>
    </row>
    <row r="131" spans="1:12" x14ac:dyDescent="0.25">
      <c r="A131" t="s">
        <v>29</v>
      </c>
      <c r="B131" t="s">
        <v>238</v>
      </c>
      <c r="C131" s="10">
        <v>42332</v>
      </c>
      <c r="D131" t="s">
        <v>120</v>
      </c>
      <c r="E131" t="s">
        <v>121</v>
      </c>
      <c r="F131">
        <v>3600</v>
      </c>
      <c r="G131">
        <v>6.75</v>
      </c>
      <c r="H131">
        <v>19.3</v>
      </c>
      <c r="I131">
        <v>1</v>
      </c>
      <c r="J131">
        <v>-0.65</v>
      </c>
      <c r="K131" s="10">
        <v>14.15</v>
      </c>
      <c r="L131">
        <v>6.75</v>
      </c>
    </row>
    <row r="132" spans="1:12" x14ac:dyDescent="0.25">
      <c r="A132" t="s">
        <v>32</v>
      </c>
      <c r="B132" t="s">
        <v>239</v>
      </c>
      <c r="C132" s="10">
        <v>42332</v>
      </c>
      <c r="D132" t="s">
        <v>108</v>
      </c>
      <c r="E132" t="s">
        <v>107</v>
      </c>
      <c r="F132">
        <v>3500</v>
      </c>
      <c r="G132">
        <v>1.73</v>
      </c>
      <c r="H132">
        <v>5</v>
      </c>
      <c r="I132">
        <v>-1</v>
      </c>
      <c r="J132">
        <v>-0.75</v>
      </c>
      <c r="K132" s="10">
        <v>4.21</v>
      </c>
      <c r="L132">
        <v>1.73</v>
      </c>
    </row>
    <row r="133" spans="1:12" x14ac:dyDescent="0.25">
      <c r="A133" t="s">
        <v>33</v>
      </c>
      <c r="B133" t="s">
        <v>240</v>
      </c>
      <c r="C133" s="10">
        <v>42332</v>
      </c>
      <c r="D133" t="s">
        <v>107</v>
      </c>
      <c r="E133" t="s">
        <v>108</v>
      </c>
      <c r="F133">
        <v>7800</v>
      </c>
      <c r="G133">
        <v>33.06</v>
      </c>
      <c r="H133">
        <v>45.8</v>
      </c>
      <c r="I133">
        <v>18.399999999999999</v>
      </c>
      <c r="J133">
        <v>25.54</v>
      </c>
      <c r="K133" s="10">
        <v>40.58</v>
      </c>
      <c r="L133">
        <v>33.06</v>
      </c>
    </row>
    <row r="134" spans="1:12" x14ac:dyDescent="0.25">
      <c r="A134" t="s">
        <v>31</v>
      </c>
      <c r="B134" t="s">
        <v>241</v>
      </c>
      <c r="C134" s="10">
        <v>42332</v>
      </c>
      <c r="D134" t="s">
        <v>126</v>
      </c>
      <c r="E134" t="s">
        <v>125</v>
      </c>
      <c r="F134">
        <v>9500</v>
      </c>
      <c r="G134">
        <v>42.27</v>
      </c>
      <c r="H134">
        <v>58.9</v>
      </c>
      <c r="I134">
        <v>20.100000000000001</v>
      </c>
      <c r="J134">
        <v>32.5</v>
      </c>
      <c r="K134" s="10">
        <v>52.04</v>
      </c>
      <c r="L134">
        <v>42.27</v>
      </c>
    </row>
    <row r="135" spans="1:12" x14ac:dyDescent="0.25">
      <c r="A135" t="s">
        <v>33</v>
      </c>
      <c r="B135" t="s">
        <v>242</v>
      </c>
      <c r="C135" s="10">
        <v>42332</v>
      </c>
      <c r="D135" t="s">
        <v>110</v>
      </c>
      <c r="E135" t="s">
        <v>111</v>
      </c>
      <c r="F135">
        <v>8600</v>
      </c>
      <c r="G135">
        <v>38.36</v>
      </c>
      <c r="H135">
        <v>54.7</v>
      </c>
      <c r="I135">
        <v>20.6</v>
      </c>
      <c r="J135">
        <v>30.3</v>
      </c>
      <c r="K135" s="10">
        <v>46.42</v>
      </c>
      <c r="L135">
        <v>38.36</v>
      </c>
    </row>
    <row r="136" spans="1:12" x14ac:dyDescent="0.25">
      <c r="A136" t="s">
        <v>31</v>
      </c>
      <c r="B136" t="s">
        <v>243</v>
      </c>
      <c r="C136" s="10">
        <v>42332</v>
      </c>
      <c r="D136" t="s">
        <v>120</v>
      </c>
      <c r="E136" t="s">
        <v>121</v>
      </c>
      <c r="F136">
        <v>3500</v>
      </c>
      <c r="G136">
        <v>12.6</v>
      </c>
      <c r="H136">
        <v>24.1</v>
      </c>
      <c r="I136">
        <v>1.2</v>
      </c>
      <c r="J136">
        <v>5.36</v>
      </c>
      <c r="K136" s="10">
        <v>19.84</v>
      </c>
      <c r="L136">
        <v>12.6</v>
      </c>
    </row>
    <row r="137" spans="1:12" x14ac:dyDescent="0.25">
      <c r="A137" t="s">
        <v>29</v>
      </c>
      <c r="B137" t="s">
        <v>244</v>
      </c>
      <c r="C137" s="10">
        <v>42332</v>
      </c>
      <c r="D137" t="s">
        <v>125</v>
      </c>
      <c r="E137" t="s">
        <v>126</v>
      </c>
      <c r="F137">
        <v>4200</v>
      </c>
      <c r="G137">
        <v>17.690000000000001</v>
      </c>
      <c r="H137">
        <v>34.299999999999997</v>
      </c>
      <c r="I137">
        <v>9.5</v>
      </c>
      <c r="J137">
        <v>9.9499999999999993</v>
      </c>
      <c r="K137" s="10">
        <v>25.43</v>
      </c>
      <c r="L137">
        <v>17.690000000000001</v>
      </c>
    </row>
    <row r="138" spans="1:12" x14ac:dyDescent="0.25">
      <c r="A138" t="s">
        <v>32</v>
      </c>
      <c r="B138" t="s">
        <v>245</v>
      </c>
      <c r="C138" s="10">
        <v>42332</v>
      </c>
      <c r="D138" t="s">
        <v>121</v>
      </c>
      <c r="E138" t="s">
        <v>120</v>
      </c>
      <c r="F138">
        <v>3500</v>
      </c>
      <c r="G138">
        <v>8.56</v>
      </c>
      <c r="H138">
        <v>18.7</v>
      </c>
      <c r="I138">
        <v>-1</v>
      </c>
      <c r="J138">
        <v>2.38</v>
      </c>
      <c r="K138" s="10">
        <v>14.73</v>
      </c>
      <c r="L138">
        <v>8.5549999999999997</v>
      </c>
    </row>
    <row r="139" spans="1:12" x14ac:dyDescent="0.25">
      <c r="A139" t="s">
        <v>29</v>
      </c>
      <c r="B139" t="s">
        <v>246</v>
      </c>
      <c r="C139" s="10">
        <v>42332</v>
      </c>
      <c r="D139" t="s">
        <v>129</v>
      </c>
      <c r="E139" t="s">
        <v>128</v>
      </c>
      <c r="F139">
        <v>3500</v>
      </c>
      <c r="G139">
        <v>14.15</v>
      </c>
      <c r="H139">
        <v>31.8</v>
      </c>
      <c r="I139">
        <v>5.4</v>
      </c>
      <c r="J139">
        <v>6</v>
      </c>
      <c r="K139" s="10">
        <v>22.3</v>
      </c>
      <c r="L139">
        <v>14.15</v>
      </c>
    </row>
    <row r="140" spans="1:12" x14ac:dyDescent="0.25">
      <c r="A140" t="s">
        <v>30</v>
      </c>
      <c r="B140" t="s">
        <v>247</v>
      </c>
      <c r="C140" s="10">
        <v>42332</v>
      </c>
      <c r="D140" t="s">
        <v>116</v>
      </c>
      <c r="E140" t="s">
        <v>115</v>
      </c>
      <c r="F140">
        <v>3500</v>
      </c>
      <c r="G140">
        <v>3.4</v>
      </c>
      <c r="H140">
        <v>3.4</v>
      </c>
      <c r="I140">
        <v>3.4</v>
      </c>
      <c r="J140">
        <v>3.4</v>
      </c>
      <c r="K140" s="10">
        <v>3.4</v>
      </c>
      <c r="L140">
        <v>3.4</v>
      </c>
    </row>
    <row r="141" spans="1:12" x14ac:dyDescent="0.25">
      <c r="A141" t="s">
        <v>32</v>
      </c>
      <c r="B141" t="s">
        <v>248</v>
      </c>
      <c r="C141" s="10">
        <v>42332</v>
      </c>
      <c r="D141" t="s">
        <v>126</v>
      </c>
      <c r="E141" t="s">
        <v>125</v>
      </c>
      <c r="F141">
        <v>4700</v>
      </c>
      <c r="G141">
        <v>18.350000000000001</v>
      </c>
      <c r="H141">
        <v>30.8</v>
      </c>
      <c r="I141">
        <v>8.6999999999999993</v>
      </c>
      <c r="J141">
        <v>11.02</v>
      </c>
      <c r="K141" s="10">
        <v>25.68</v>
      </c>
      <c r="L141">
        <v>18.350000000000001</v>
      </c>
    </row>
    <row r="142" spans="1:12" x14ac:dyDescent="0.25">
      <c r="A142" t="s">
        <v>30</v>
      </c>
      <c r="B142" t="s">
        <v>249</v>
      </c>
      <c r="C142" s="10">
        <v>42332</v>
      </c>
      <c r="D142" t="s">
        <v>116</v>
      </c>
      <c r="E142" t="s">
        <v>115</v>
      </c>
      <c r="F142">
        <v>5400</v>
      </c>
      <c r="G142">
        <v>23.41</v>
      </c>
      <c r="H142">
        <v>37</v>
      </c>
      <c r="I142">
        <v>12.4</v>
      </c>
      <c r="J142">
        <v>16.14</v>
      </c>
      <c r="K142" s="10">
        <v>30.68</v>
      </c>
      <c r="L142">
        <v>23.41</v>
      </c>
    </row>
    <row r="143" spans="1:12" x14ac:dyDescent="0.25">
      <c r="A143" t="s">
        <v>29</v>
      </c>
      <c r="B143" t="s">
        <v>250</v>
      </c>
      <c r="C143" s="10">
        <v>42332</v>
      </c>
      <c r="D143" t="s">
        <v>128</v>
      </c>
      <c r="E143" t="s">
        <v>129</v>
      </c>
      <c r="F143">
        <v>3500</v>
      </c>
      <c r="G143">
        <v>4.5599999999999996</v>
      </c>
      <c r="H143">
        <v>7.2</v>
      </c>
      <c r="I143">
        <v>2</v>
      </c>
      <c r="J143">
        <v>2.37</v>
      </c>
      <c r="K143" s="10">
        <v>6.75</v>
      </c>
      <c r="L143">
        <v>4.5599999999999996</v>
      </c>
    </row>
    <row r="144" spans="1:12" x14ac:dyDescent="0.25">
      <c r="A144" t="s">
        <v>30</v>
      </c>
      <c r="B144" t="s">
        <v>251</v>
      </c>
      <c r="C144" s="10">
        <v>42332</v>
      </c>
      <c r="D144" t="s">
        <v>129</v>
      </c>
      <c r="E144" t="s">
        <v>128</v>
      </c>
      <c r="F144">
        <v>3500</v>
      </c>
      <c r="G144">
        <v>3.67</v>
      </c>
      <c r="H144">
        <v>7.6</v>
      </c>
      <c r="I144">
        <v>1.2</v>
      </c>
      <c r="J144">
        <v>0.86</v>
      </c>
      <c r="K144" s="10">
        <v>6.48</v>
      </c>
      <c r="L144">
        <v>3.67</v>
      </c>
    </row>
    <row r="145" spans="1:12" x14ac:dyDescent="0.25">
      <c r="A145" t="s">
        <v>29</v>
      </c>
      <c r="B145" t="s">
        <v>252</v>
      </c>
      <c r="C145" s="10">
        <v>42332</v>
      </c>
      <c r="D145" t="s">
        <v>115</v>
      </c>
      <c r="E145" t="s">
        <v>116</v>
      </c>
      <c r="F145">
        <v>3500</v>
      </c>
      <c r="G145">
        <v>11.02</v>
      </c>
      <c r="H145">
        <v>15.8</v>
      </c>
      <c r="I145">
        <v>5.2</v>
      </c>
      <c r="J145">
        <v>8.4499999999999993</v>
      </c>
      <c r="K145" s="10">
        <v>13.58</v>
      </c>
      <c r="L145">
        <v>11.015000000000001</v>
      </c>
    </row>
    <row r="146" spans="1:12" x14ac:dyDescent="0.25">
      <c r="A146" t="s">
        <v>30</v>
      </c>
      <c r="B146" t="s">
        <v>253</v>
      </c>
      <c r="C146" s="10">
        <v>42332</v>
      </c>
      <c r="D146" t="s">
        <v>126</v>
      </c>
      <c r="E146" t="s">
        <v>125</v>
      </c>
      <c r="F146">
        <v>3500</v>
      </c>
      <c r="G146">
        <v>-2</v>
      </c>
      <c r="H146">
        <v>-2</v>
      </c>
      <c r="I146">
        <v>-2</v>
      </c>
      <c r="J146">
        <v>-2</v>
      </c>
      <c r="K146" s="10">
        <v>-2</v>
      </c>
      <c r="L146">
        <v>-2</v>
      </c>
    </row>
    <row r="147" spans="1:12" x14ac:dyDescent="0.25">
      <c r="A147" t="s">
        <v>29</v>
      </c>
      <c r="B147" t="s">
        <v>254</v>
      </c>
      <c r="C147" s="10">
        <v>42332</v>
      </c>
      <c r="D147" t="s">
        <v>110</v>
      </c>
      <c r="E147" t="s">
        <v>111</v>
      </c>
      <c r="F147">
        <v>3500</v>
      </c>
      <c r="G147">
        <v>11.03</v>
      </c>
      <c r="H147">
        <v>19.3</v>
      </c>
      <c r="I147">
        <v>0.4</v>
      </c>
      <c r="J147">
        <v>3.31</v>
      </c>
      <c r="K147" s="10">
        <v>18.739999999999998</v>
      </c>
      <c r="L147">
        <v>11.025</v>
      </c>
    </row>
    <row r="148" spans="1:12" x14ac:dyDescent="0.25">
      <c r="A148" t="s">
        <v>32</v>
      </c>
      <c r="B148" t="s">
        <v>255</v>
      </c>
      <c r="C148" s="10">
        <v>42332</v>
      </c>
      <c r="D148" t="s">
        <v>126</v>
      </c>
      <c r="E148" t="s">
        <v>125</v>
      </c>
      <c r="F148">
        <v>3500</v>
      </c>
      <c r="G148">
        <v>6.23</v>
      </c>
      <c r="H148">
        <v>12.5</v>
      </c>
      <c r="I148">
        <v>2</v>
      </c>
      <c r="J148">
        <v>1.71</v>
      </c>
      <c r="K148" s="10">
        <v>10.75</v>
      </c>
      <c r="L148">
        <v>6.23</v>
      </c>
    </row>
    <row r="149" spans="1:12" x14ac:dyDescent="0.25">
      <c r="A149" t="s">
        <v>29</v>
      </c>
      <c r="B149" t="s">
        <v>256</v>
      </c>
      <c r="C149" s="10">
        <v>42332</v>
      </c>
      <c r="D149" t="s">
        <v>115</v>
      </c>
      <c r="E149" t="s">
        <v>116</v>
      </c>
      <c r="F149">
        <v>10900</v>
      </c>
      <c r="G149">
        <v>49.24</v>
      </c>
      <c r="H149">
        <v>77.3</v>
      </c>
      <c r="I149">
        <v>33.700000000000003</v>
      </c>
      <c r="J149">
        <v>37.78</v>
      </c>
      <c r="K149" s="10">
        <v>60.7</v>
      </c>
      <c r="L149">
        <v>49.24</v>
      </c>
    </row>
    <row r="150" spans="1:12" x14ac:dyDescent="0.25">
      <c r="A150" t="s">
        <v>33</v>
      </c>
      <c r="B150" t="s">
        <v>257</v>
      </c>
      <c r="C150" s="10">
        <v>42332</v>
      </c>
      <c r="D150" t="s">
        <v>107</v>
      </c>
      <c r="E150" t="s">
        <v>108</v>
      </c>
      <c r="F150">
        <v>4200</v>
      </c>
      <c r="G150">
        <v>16.45</v>
      </c>
      <c r="H150">
        <v>36.700000000000003</v>
      </c>
      <c r="I150">
        <v>1.2</v>
      </c>
      <c r="J150">
        <v>7.49</v>
      </c>
      <c r="K150" s="10">
        <v>25.41</v>
      </c>
      <c r="L150">
        <v>16.45</v>
      </c>
    </row>
    <row r="151" spans="1:12" x14ac:dyDescent="0.25">
      <c r="A151" t="s">
        <v>30</v>
      </c>
      <c r="B151" t="s">
        <v>258</v>
      </c>
      <c r="C151" s="10">
        <v>42332</v>
      </c>
      <c r="D151" t="s">
        <v>116</v>
      </c>
      <c r="E151" t="s">
        <v>115</v>
      </c>
      <c r="F151">
        <v>3500</v>
      </c>
      <c r="G151">
        <v>10.220000000000001</v>
      </c>
      <c r="H151">
        <v>15.6</v>
      </c>
      <c r="I151">
        <v>1.2</v>
      </c>
      <c r="J151">
        <v>5.1100000000000003</v>
      </c>
      <c r="K151" s="10">
        <v>15.32</v>
      </c>
      <c r="L151">
        <v>10.215</v>
      </c>
    </row>
    <row r="152" spans="1:12" x14ac:dyDescent="0.25">
      <c r="A152" t="s">
        <v>29</v>
      </c>
      <c r="B152" t="s">
        <v>259</v>
      </c>
      <c r="C152" s="10">
        <v>42332</v>
      </c>
      <c r="D152" t="s">
        <v>111</v>
      </c>
      <c r="E152" t="s">
        <v>110</v>
      </c>
      <c r="F152">
        <v>3500</v>
      </c>
      <c r="G152">
        <v>4.5199999999999996</v>
      </c>
      <c r="H152">
        <v>10.7</v>
      </c>
      <c r="I152">
        <v>1.2</v>
      </c>
      <c r="J152">
        <v>1.23</v>
      </c>
      <c r="K152" s="10">
        <v>7.8</v>
      </c>
      <c r="L152">
        <v>4.5149999999999997</v>
      </c>
    </row>
    <row r="153" spans="1:12" x14ac:dyDescent="0.25">
      <c r="A153" t="s">
        <v>31</v>
      </c>
      <c r="B153" t="s">
        <v>260</v>
      </c>
      <c r="C153" s="10">
        <v>42332</v>
      </c>
      <c r="D153" t="s">
        <v>110</v>
      </c>
      <c r="E153" t="s">
        <v>111</v>
      </c>
      <c r="F153">
        <v>3900</v>
      </c>
      <c r="G153">
        <v>17.59</v>
      </c>
      <c r="H153">
        <v>22.9</v>
      </c>
      <c r="I153">
        <v>10.8</v>
      </c>
      <c r="J153">
        <v>14.14</v>
      </c>
      <c r="K153" s="10">
        <v>21.04</v>
      </c>
      <c r="L153">
        <v>17.59</v>
      </c>
    </row>
    <row r="154" spans="1:12" x14ac:dyDescent="0.25">
      <c r="A154" t="s">
        <v>30</v>
      </c>
      <c r="B154" t="s">
        <v>261</v>
      </c>
      <c r="C154" s="10">
        <v>42332</v>
      </c>
      <c r="D154" t="s">
        <v>110</v>
      </c>
      <c r="E154" t="s">
        <v>111</v>
      </c>
      <c r="F154">
        <v>3500</v>
      </c>
      <c r="G154">
        <v>12.38</v>
      </c>
      <c r="H154">
        <v>19.899999999999999</v>
      </c>
      <c r="I154">
        <v>4</v>
      </c>
      <c r="J154">
        <v>7.61</v>
      </c>
      <c r="K154" s="10">
        <v>17.16</v>
      </c>
      <c r="L154">
        <v>12.385</v>
      </c>
    </row>
    <row r="155" spans="1:12" x14ac:dyDescent="0.25">
      <c r="A155" t="s">
        <v>29</v>
      </c>
      <c r="B155" t="s">
        <v>262</v>
      </c>
      <c r="C155" s="10">
        <v>42332</v>
      </c>
      <c r="D155" t="s">
        <v>108</v>
      </c>
      <c r="E155" t="s">
        <v>107</v>
      </c>
      <c r="F155">
        <v>3500</v>
      </c>
      <c r="G155">
        <v>3.4</v>
      </c>
      <c r="H155">
        <v>6.7</v>
      </c>
      <c r="I155">
        <v>1.4</v>
      </c>
      <c r="J155">
        <v>1.35</v>
      </c>
      <c r="K155" s="10">
        <v>5.45</v>
      </c>
      <c r="L155">
        <v>3.4</v>
      </c>
    </row>
    <row r="156" spans="1:12" x14ac:dyDescent="0.25">
      <c r="A156" t="s">
        <v>32</v>
      </c>
      <c r="B156" t="s">
        <v>263</v>
      </c>
      <c r="C156" s="10">
        <v>42332</v>
      </c>
      <c r="D156" t="s">
        <v>128</v>
      </c>
      <c r="E156" t="s">
        <v>129</v>
      </c>
      <c r="F156">
        <v>4000</v>
      </c>
      <c r="G156">
        <v>15.44</v>
      </c>
      <c r="H156">
        <v>24.4</v>
      </c>
      <c r="I156">
        <v>6.9</v>
      </c>
      <c r="J156">
        <v>9.8800000000000008</v>
      </c>
      <c r="K156" s="10">
        <v>21.01</v>
      </c>
      <c r="L156">
        <v>15.445</v>
      </c>
    </row>
    <row r="157" spans="1:12" x14ac:dyDescent="0.25">
      <c r="A157" t="s">
        <v>32</v>
      </c>
      <c r="B157" t="s">
        <v>264</v>
      </c>
      <c r="C157" s="10">
        <v>42332</v>
      </c>
      <c r="D157" t="s">
        <v>107</v>
      </c>
      <c r="E157" t="s">
        <v>108</v>
      </c>
      <c r="F157">
        <v>3500</v>
      </c>
      <c r="G157">
        <v>11.98</v>
      </c>
      <c r="H157">
        <v>21.2</v>
      </c>
      <c r="I157">
        <v>1.2</v>
      </c>
      <c r="J157">
        <v>6.5</v>
      </c>
      <c r="K157" s="10">
        <v>17.47</v>
      </c>
      <c r="L157">
        <v>11.984999999999999</v>
      </c>
    </row>
    <row r="158" spans="1:12" x14ac:dyDescent="0.25">
      <c r="A158" t="s">
        <v>30</v>
      </c>
      <c r="B158" t="s">
        <v>265</v>
      </c>
      <c r="C158" s="10">
        <v>42332</v>
      </c>
      <c r="D158" t="s">
        <v>111</v>
      </c>
      <c r="E158" t="s">
        <v>110</v>
      </c>
      <c r="F158">
        <v>3500</v>
      </c>
      <c r="G158">
        <v>8.49</v>
      </c>
      <c r="H158">
        <v>15</v>
      </c>
      <c r="I158">
        <v>1.7</v>
      </c>
      <c r="J158">
        <v>4.4400000000000004</v>
      </c>
      <c r="K158" s="10">
        <v>12.54</v>
      </c>
      <c r="L158">
        <v>8.49</v>
      </c>
    </row>
    <row r="159" spans="1:12" x14ac:dyDescent="0.25">
      <c r="A159" t="s">
        <v>31</v>
      </c>
      <c r="B159" t="s">
        <v>266</v>
      </c>
      <c r="C159" s="10">
        <v>42332</v>
      </c>
      <c r="D159" t="s">
        <v>128</v>
      </c>
      <c r="E159" t="s">
        <v>129</v>
      </c>
      <c r="F159">
        <v>3500</v>
      </c>
      <c r="G159">
        <v>10.53</v>
      </c>
      <c r="H159">
        <v>15.6</v>
      </c>
      <c r="I159">
        <v>5.2</v>
      </c>
      <c r="J159">
        <v>6.28</v>
      </c>
      <c r="K159" s="10">
        <v>14.78</v>
      </c>
      <c r="L159">
        <v>10.53</v>
      </c>
    </row>
    <row r="160" spans="1:12" x14ac:dyDescent="0.25">
      <c r="A160" t="s">
        <v>30</v>
      </c>
      <c r="B160" t="s">
        <v>267</v>
      </c>
      <c r="C160" s="10">
        <v>42332</v>
      </c>
      <c r="D160" t="s">
        <v>110</v>
      </c>
      <c r="E160" t="s">
        <v>111</v>
      </c>
      <c r="F160">
        <v>3500</v>
      </c>
      <c r="G160">
        <v>2.2000000000000002</v>
      </c>
      <c r="H160">
        <v>2.2000000000000002</v>
      </c>
      <c r="I160">
        <v>2.2000000000000002</v>
      </c>
      <c r="J160">
        <v>2.2000000000000002</v>
      </c>
      <c r="K160" s="10">
        <v>2.2000000000000002</v>
      </c>
      <c r="L160">
        <v>2.2000000000000002</v>
      </c>
    </row>
    <row r="161" spans="1:12" x14ac:dyDescent="0.25">
      <c r="A161" t="s">
        <v>31</v>
      </c>
      <c r="B161" t="s">
        <v>268</v>
      </c>
      <c r="C161" s="10">
        <v>42332</v>
      </c>
      <c r="D161" t="s">
        <v>120</v>
      </c>
      <c r="E161" t="s">
        <v>121</v>
      </c>
      <c r="F161">
        <v>3500</v>
      </c>
      <c r="G161">
        <v>9.9700000000000006</v>
      </c>
      <c r="H161">
        <v>18.600000000000001</v>
      </c>
      <c r="I161">
        <v>1.2</v>
      </c>
      <c r="J161">
        <v>5.18</v>
      </c>
      <c r="K161" s="10">
        <v>14.76</v>
      </c>
      <c r="L161">
        <v>9.9700000000000006</v>
      </c>
    </row>
    <row r="162" spans="1:12" x14ac:dyDescent="0.25">
      <c r="A162" t="s">
        <v>32</v>
      </c>
      <c r="B162" t="s">
        <v>269</v>
      </c>
      <c r="C162" s="10">
        <v>42332</v>
      </c>
      <c r="D162" t="s">
        <v>129</v>
      </c>
      <c r="E162" t="s">
        <v>128</v>
      </c>
      <c r="F162">
        <v>4800</v>
      </c>
      <c r="G162">
        <v>16.8</v>
      </c>
      <c r="H162">
        <v>37.700000000000003</v>
      </c>
      <c r="I162">
        <v>0.7</v>
      </c>
      <c r="J162">
        <v>8.16</v>
      </c>
      <c r="K162" s="10">
        <v>25.44</v>
      </c>
      <c r="L162">
        <v>16.8</v>
      </c>
    </row>
    <row r="163" spans="1:12" x14ac:dyDescent="0.25">
      <c r="A163" t="s">
        <v>32</v>
      </c>
      <c r="B163" t="s">
        <v>270</v>
      </c>
      <c r="C163" s="10">
        <v>42332</v>
      </c>
      <c r="D163" t="s">
        <v>121</v>
      </c>
      <c r="E163" t="s">
        <v>120</v>
      </c>
      <c r="F163">
        <v>5400</v>
      </c>
      <c r="G163">
        <v>26.36</v>
      </c>
      <c r="H163">
        <v>44.4</v>
      </c>
      <c r="I163">
        <v>8.9</v>
      </c>
      <c r="J163">
        <v>17.079999999999998</v>
      </c>
      <c r="K163" s="10">
        <v>35.630000000000003</v>
      </c>
      <c r="L163">
        <v>26.355</v>
      </c>
    </row>
    <row r="164" spans="1:12" x14ac:dyDescent="0.25">
      <c r="A164" t="s">
        <v>33</v>
      </c>
      <c r="B164" t="s">
        <v>271</v>
      </c>
      <c r="C164" s="10">
        <v>42332</v>
      </c>
      <c r="D164" t="s">
        <v>128</v>
      </c>
      <c r="E164" t="s">
        <v>129</v>
      </c>
      <c r="F164">
        <v>6900</v>
      </c>
      <c r="G164">
        <v>27.11</v>
      </c>
      <c r="H164">
        <v>48.8</v>
      </c>
      <c r="I164">
        <v>7.6</v>
      </c>
      <c r="J164">
        <v>18.11</v>
      </c>
      <c r="K164" s="10">
        <v>36.11</v>
      </c>
      <c r="L164">
        <v>27.11</v>
      </c>
    </row>
    <row r="165" spans="1:12" x14ac:dyDescent="0.25">
      <c r="A165" t="s">
        <v>30</v>
      </c>
      <c r="B165" t="s">
        <v>272</v>
      </c>
      <c r="C165" s="10">
        <v>42332</v>
      </c>
      <c r="D165" t="s">
        <v>129</v>
      </c>
      <c r="E165" t="s">
        <v>128</v>
      </c>
      <c r="F165">
        <v>6200</v>
      </c>
      <c r="G165">
        <v>27.29</v>
      </c>
      <c r="H165">
        <v>38.4</v>
      </c>
      <c r="I165">
        <v>9.4</v>
      </c>
      <c r="J165">
        <v>18.27</v>
      </c>
      <c r="K165" s="10">
        <v>36.299999999999997</v>
      </c>
      <c r="L165">
        <v>27.285</v>
      </c>
    </row>
    <row r="166" spans="1:12" x14ac:dyDescent="0.25">
      <c r="A166" t="s">
        <v>31</v>
      </c>
      <c r="B166" t="s">
        <v>51</v>
      </c>
      <c r="C166" s="10">
        <v>42331</v>
      </c>
      <c r="D166" t="s">
        <v>47</v>
      </c>
      <c r="E166" t="s">
        <v>48</v>
      </c>
      <c r="F166">
        <v>3500</v>
      </c>
      <c r="G166">
        <v>3.98</v>
      </c>
      <c r="H166">
        <v>8.1</v>
      </c>
      <c r="I166">
        <v>1.4</v>
      </c>
      <c r="J166">
        <v>1.52</v>
      </c>
      <c r="K166">
        <v>6.43</v>
      </c>
      <c r="L166">
        <v>3.9750000000000001</v>
      </c>
    </row>
    <row r="167" spans="1:12" x14ac:dyDescent="0.25">
      <c r="A167" t="s">
        <v>29</v>
      </c>
      <c r="B167" t="s">
        <v>40</v>
      </c>
      <c r="C167" s="10">
        <v>42331</v>
      </c>
      <c r="D167" t="s">
        <v>37</v>
      </c>
      <c r="E167" t="s">
        <v>50</v>
      </c>
      <c r="F167">
        <v>3500</v>
      </c>
      <c r="G167">
        <v>7.58</v>
      </c>
      <c r="H167">
        <v>12.2</v>
      </c>
      <c r="I167">
        <v>1.2</v>
      </c>
      <c r="J167">
        <v>3.4</v>
      </c>
      <c r="K167">
        <v>11.75</v>
      </c>
      <c r="L167">
        <v>7.5750000000000002</v>
      </c>
    </row>
    <row r="168" spans="1:12" x14ac:dyDescent="0.25">
      <c r="A168" t="s">
        <v>30</v>
      </c>
      <c r="B168" t="s">
        <v>52</v>
      </c>
      <c r="C168" s="10">
        <v>42331</v>
      </c>
      <c r="D168" t="s">
        <v>36</v>
      </c>
      <c r="E168" t="s">
        <v>34</v>
      </c>
      <c r="F168">
        <v>3600</v>
      </c>
      <c r="G168">
        <v>13.23</v>
      </c>
      <c r="H168">
        <v>22.5</v>
      </c>
      <c r="I168">
        <v>4.4000000000000004</v>
      </c>
      <c r="J168">
        <v>7.69</v>
      </c>
      <c r="K168">
        <v>18.78</v>
      </c>
      <c r="L168">
        <v>13.234999999999999</v>
      </c>
    </row>
    <row r="169" spans="1:12" x14ac:dyDescent="0.25">
      <c r="A169" t="s">
        <v>31</v>
      </c>
      <c r="B169" t="s">
        <v>38</v>
      </c>
      <c r="C169" s="10">
        <v>42331</v>
      </c>
      <c r="D169" t="s">
        <v>37</v>
      </c>
      <c r="E169" t="s">
        <v>50</v>
      </c>
      <c r="F169">
        <v>3600</v>
      </c>
      <c r="G169">
        <v>13.75</v>
      </c>
      <c r="H169">
        <v>28.4</v>
      </c>
      <c r="I169">
        <v>2</v>
      </c>
      <c r="J169">
        <v>6.69</v>
      </c>
      <c r="K169">
        <v>20.81</v>
      </c>
      <c r="L169">
        <v>13.75</v>
      </c>
    </row>
    <row r="170" spans="1:12" x14ac:dyDescent="0.25">
      <c r="A170" t="s">
        <v>29</v>
      </c>
      <c r="B170" t="s">
        <v>39</v>
      </c>
      <c r="C170" s="10">
        <v>42331</v>
      </c>
      <c r="D170" t="s">
        <v>37</v>
      </c>
      <c r="E170" t="s">
        <v>50</v>
      </c>
      <c r="F170">
        <v>3500</v>
      </c>
      <c r="G170">
        <v>9.18</v>
      </c>
      <c r="H170">
        <v>16.3</v>
      </c>
      <c r="I170">
        <v>0.5</v>
      </c>
      <c r="J170">
        <v>4.79</v>
      </c>
      <c r="K170">
        <v>13.56</v>
      </c>
      <c r="L170">
        <v>9.1750000000000007</v>
      </c>
    </row>
    <row r="171" spans="1:12" x14ac:dyDescent="0.25">
      <c r="A171" t="s">
        <v>31</v>
      </c>
      <c r="B171" t="s">
        <v>53</v>
      </c>
      <c r="C171" s="10">
        <v>42331</v>
      </c>
      <c r="D171" t="s">
        <v>46</v>
      </c>
      <c r="E171" t="s">
        <v>45</v>
      </c>
      <c r="F171">
        <v>3500</v>
      </c>
      <c r="G171">
        <v>4.2</v>
      </c>
      <c r="H171">
        <v>4.2</v>
      </c>
      <c r="I171">
        <v>4.2</v>
      </c>
      <c r="J171">
        <v>4.2</v>
      </c>
      <c r="K171">
        <v>4.2</v>
      </c>
      <c r="L171">
        <v>4.2</v>
      </c>
    </row>
    <row r="172" spans="1:12" x14ac:dyDescent="0.25">
      <c r="A172" t="s">
        <v>30</v>
      </c>
      <c r="B172" t="s">
        <v>54</v>
      </c>
      <c r="C172" s="10">
        <v>42331</v>
      </c>
      <c r="D172" t="s">
        <v>46</v>
      </c>
      <c r="E172" t="s">
        <v>45</v>
      </c>
      <c r="F172">
        <v>4100</v>
      </c>
      <c r="G172">
        <v>16.93</v>
      </c>
      <c r="H172">
        <v>27.6</v>
      </c>
      <c r="I172">
        <v>4.4000000000000004</v>
      </c>
      <c r="J172">
        <v>10.44</v>
      </c>
      <c r="K172">
        <v>23.43</v>
      </c>
      <c r="L172">
        <v>16.934999999999999</v>
      </c>
    </row>
    <row r="173" spans="1:12" x14ac:dyDescent="0.25">
      <c r="A173" t="s">
        <v>29</v>
      </c>
      <c r="B173" t="s">
        <v>55</v>
      </c>
      <c r="C173" s="10">
        <v>42331</v>
      </c>
      <c r="D173" t="s">
        <v>44</v>
      </c>
      <c r="E173" t="s">
        <v>43</v>
      </c>
      <c r="F173">
        <v>5000</v>
      </c>
      <c r="G173">
        <v>23.3</v>
      </c>
      <c r="H173">
        <v>34.799999999999997</v>
      </c>
      <c r="I173">
        <v>11.4</v>
      </c>
      <c r="J173">
        <v>15.54</v>
      </c>
      <c r="K173">
        <v>31.06</v>
      </c>
      <c r="L173">
        <v>23.3</v>
      </c>
    </row>
    <row r="174" spans="1:12" x14ac:dyDescent="0.25">
      <c r="A174" t="s">
        <v>31</v>
      </c>
      <c r="B174" t="s">
        <v>56</v>
      </c>
      <c r="C174" s="10">
        <v>42331</v>
      </c>
      <c r="D174" t="s">
        <v>47</v>
      </c>
      <c r="E174" t="s">
        <v>48</v>
      </c>
      <c r="F174">
        <v>3700</v>
      </c>
      <c r="G174">
        <v>15.65</v>
      </c>
      <c r="H174">
        <v>27.8</v>
      </c>
      <c r="I174">
        <v>1.2</v>
      </c>
      <c r="J174">
        <v>7.85</v>
      </c>
      <c r="K174">
        <v>23.45</v>
      </c>
      <c r="L174">
        <v>15.65</v>
      </c>
    </row>
    <row r="175" spans="1:12" x14ac:dyDescent="0.25">
      <c r="A175" t="s">
        <v>31</v>
      </c>
      <c r="B175" t="s">
        <v>57</v>
      </c>
      <c r="C175" s="10">
        <v>42331</v>
      </c>
      <c r="D175" t="s">
        <v>43</v>
      </c>
      <c r="E175" t="s">
        <v>44</v>
      </c>
      <c r="F175">
        <v>3500</v>
      </c>
      <c r="G175">
        <v>7.99</v>
      </c>
      <c r="H175">
        <v>15.2</v>
      </c>
      <c r="I175">
        <v>3.2</v>
      </c>
      <c r="J175">
        <v>4.4000000000000004</v>
      </c>
      <c r="K175">
        <v>11.58</v>
      </c>
      <c r="L175">
        <v>7.99</v>
      </c>
    </row>
    <row r="176" spans="1:12" x14ac:dyDescent="0.25">
      <c r="A176" t="s">
        <v>30</v>
      </c>
      <c r="B176" t="s">
        <v>58</v>
      </c>
      <c r="C176" s="10">
        <v>42331</v>
      </c>
      <c r="D176" t="s">
        <v>45</v>
      </c>
      <c r="E176" t="s">
        <v>46</v>
      </c>
      <c r="F176">
        <v>3500</v>
      </c>
      <c r="G176">
        <v>3.1</v>
      </c>
      <c r="H176">
        <v>3.2</v>
      </c>
      <c r="I176">
        <v>3</v>
      </c>
      <c r="J176">
        <v>3</v>
      </c>
      <c r="K176">
        <v>3.2</v>
      </c>
      <c r="L176">
        <v>3.1</v>
      </c>
    </row>
    <row r="177" spans="1:12" x14ac:dyDescent="0.25">
      <c r="A177" t="s">
        <v>30</v>
      </c>
      <c r="B177" t="s">
        <v>59</v>
      </c>
      <c r="C177" s="10">
        <v>42331</v>
      </c>
      <c r="D177" t="s">
        <v>48</v>
      </c>
      <c r="E177" t="s">
        <v>47</v>
      </c>
      <c r="F177">
        <v>6900</v>
      </c>
      <c r="G177">
        <v>28.76</v>
      </c>
      <c r="H177">
        <v>46.2</v>
      </c>
      <c r="I177">
        <v>13</v>
      </c>
      <c r="J177">
        <v>20.12</v>
      </c>
      <c r="K177">
        <v>37.409999999999997</v>
      </c>
      <c r="L177">
        <v>28.765000000000001</v>
      </c>
    </row>
    <row r="178" spans="1:12" x14ac:dyDescent="0.25">
      <c r="A178" t="s">
        <v>30</v>
      </c>
      <c r="B178" t="s">
        <v>60</v>
      </c>
      <c r="C178" s="10">
        <v>42331</v>
      </c>
      <c r="D178" t="s">
        <v>42</v>
      </c>
      <c r="E178" t="s">
        <v>41</v>
      </c>
      <c r="F178">
        <v>4000</v>
      </c>
      <c r="G178">
        <v>15.67</v>
      </c>
      <c r="H178">
        <v>22.7</v>
      </c>
      <c r="I178">
        <v>1</v>
      </c>
      <c r="J178">
        <v>9.5</v>
      </c>
      <c r="K178">
        <v>21.84</v>
      </c>
      <c r="L178">
        <v>15.67</v>
      </c>
    </row>
    <row r="179" spans="1:12" x14ac:dyDescent="0.25">
      <c r="A179" t="s">
        <v>31</v>
      </c>
      <c r="B179" t="s">
        <v>61</v>
      </c>
      <c r="C179" s="10">
        <v>42331</v>
      </c>
      <c r="D179" t="s">
        <v>41</v>
      </c>
      <c r="E179" t="s">
        <v>42</v>
      </c>
      <c r="F179">
        <v>6800</v>
      </c>
      <c r="G179">
        <v>28.82</v>
      </c>
      <c r="H179">
        <v>45.1</v>
      </c>
      <c r="I179">
        <v>14</v>
      </c>
      <c r="J179">
        <v>19.43</v>
      </c>
      <c r="K179">
        <v>38.200000000000003</v>
      </c>
      <c r="L179">
        <v>28.815000000000001</v>
      </c>
    </row>
    <row r="180" spans="1:12" x14ac:dyDescent="0.25">
      <c r="A180" t="s">
        <v>29</v>
      </c>
      <c r="B180" t="s">
        <v>62</v>
      </c>
      <c r="C180" s="10">
        <v>42331</v>
      </c>
      <c r="D180" t="s">
        <v>48</v>
      </c>
      <c r="E180" t="s">
        <v>47</v>
      </c>
      <c r="F180">
        <v>5300</v>
      </c>
      <c r="G180">
        <v>21.41</v>
      </c>
      <c r="H180">
        <v>37.9</v>
      </c>
      <c r="I180">
        <v>9.3000000000000007</v>
      </c>
      <c r="J180">
        <v>14.61</v>
      </c>
      <c r="K180">
        <v>28.2</v>
      </c>
      <c r="L180">
        <v>21.405000000000001</v>
      </c>
    </row>
    <row r="181" spans="1:12" x14ac:dyDescent="0.25">
      <c r="A181" t="s">
        <v>33</v>
      </c>
      <c r="B181" t="s">
        <v>63</v>
      </c>
      <c r="C181" s="10">
        <v>42331</v>
      </c>
      <c r="D181" t="s">
        <v>45</v>
      </c>
      <c r="E181" t="s">
        <v>46</v>
      </c>
      <c r="F181">
        <v>3600</v>
      </c>
      <c r="G181">
        <v>12.71</v>
      </c>
      <c r="H181">
        <v>31.3</v>
      </c>
      <c r="I181">
        <v>5.6</v>
      </c>
      <c r="J181">
        <v>4.8600000000000003</v>
      </c>
      <c r="K181">
        <v>20.56</v>
      </c>
      <c r="L181">
        <v>12.71</v>
      </c>
    </row>
    <row r="182" spans="1:12" x14ac:dyDescent="0.25">
      <c r="A182" t="s">
        <v>29</v>
      </c>
      <c r="B182" t="s">
        <v>64</v>
      </c>
      <c r="C182" s="10">
        <v>42331</v>
      </c>
      <c r="D182" t="s">
        <v>45</v>
      </c>
      <c r="E182" t="s">
        <v>46</v>
      </c>
      <c r="F182">
        <v>4900</v>
      </c>
      <c r="G182">
        <v>18.920000000000002</v>
      </c>
      <c r="H182">
        <v>29.1</v>
      </c>
      <c r="I182">
        <v>1.7</v>
      </c>
      <c r="J182">
        <v>12.02</v>
      </c>
      <c r="K182">
        <v>25.81</v>
      </c>
      <c r="L182">
        <v>18.914999999999999</v>
      </c>
    </row>
    <row r="183" spans="1:12" x14ac:dyDescent="0.25">
      <c r="A183" t="s">
        <v>33</v>
      </c>
      <c r="B183" t="s">
        <v>65</v>
      </c>
      <c r="C183" s="10">
        <v>42331</v>
      </c>
      <c r="D183" t="s">
        <v>45</v>
      </c>
      <c r="E183" t="s">
        <v>46</v>
      </c>
      <c r="F183">
        <v>3500</v>
      </c>
      <c r="G183">
        <v>5.56</v>
      </c>
      <c r="H183">
        <v>12.1</v>
      </c>
      <c r="I183">
        <v>1.4</v>
      </c>
      <c r="J183">
        <v>1.95</v>
      </c>
      <c r="K183">
        <v>9.18</v>
      </c>
      <c r="L183">
        <v>5.5650000000000004</v>
      </c>
    </row>
    <row r="184" spans="1:12" x14ac:dyDescent="0.25">
      <c r="A184" t="s">
        <v>33</v>
      </c>
      <c r="B184" t="s">
        <v>66</v>
      </c>
      <c r="C184" s="10">
        <v>42331</v>
      </c>
      <c r="D184" t="s">
        <v>42</v>
      </c>
      <c r="E184" t="s">
        <v>41</v>
      </c>
      <c r="F184">
        <v>5600</v>
      </c>
      <c r="G184">
        <v>22.49</v>
      </c>
      <c r="H184">
        <v>37.700000000000003</v>
      </c>
      <c r="I184">
        <v>10.8</v>
      </c>
      <c r="J184">
        <v>15.08</v>
      </c>
      <c r="K184">
        <v>29.91</v>
      </c>
      <c r="L184">
        <v>22.495000000000001</v>
      </c>
    </row>
    <row r="185" spans="1:12" x14ac:dyDescent="0.25">
      <c r="A185" t="s">
        <v>32</v>
      </c>
      <c r="B185" t="s">
        <v>67</v>
      </c>
      <c r="C185" s="10">
        <v>42331</v>
      </c>
      <c r="D185" t="s">
        <v>36</v>
      </c>
      <c r="E185" t="s">
        <v>34</v>
      </c>
      <c r="F185">
        <v>3500</v>
      </c>
      <c r="G185">
        <v>2.78</v>
      </c>
      <c r="H185">
        <v>4</v>
      </c>
      <c r="I185">
        <v>1.5</v>
      </c>
      <c r="J185">
        <v>1.85</v>
      </c>
      <c r="K185">
        <v>3.7</v>
      </c>
      <c r="L185">
        <v>2.7749999999999999</v>
      </c>
    </row>
    <row r="186" spans="1:12" x14ac:dyDescent="0.25">
      <c r="A186" t="s">
        <v>29</v>
      </c>
      <c r="B186" t="s">
        <v>68</v>
      </c>
      <c r="C186" s="10">
        <v>42331</v>
      </c>
      <c r="D186" t="s">
        <v>50</v>
      </c>
      <c r="E186" t="s">
        <v>37</v>
      </c>
      <c r="F186">
        <v>3500</v>
      </c>
      <c r="G186">
        <v>8.3800000000000008</v>
      </c>
      <c r="H186">
        <v>12.7</v>
      </c>
      <c r="I186">
        <v>4.9000000000000004</v>
      </c>
      <c r="J186">
        <v>5.26</v>
      </c>
      <c r="K186">
        <v>11.51</v>
      </c>
      <c r="L186">
        <v>8.3849999999999998</v>
      </c>
    </row>
    <row r="187" spans="1:12" x14ac:dyDescent="0.25">
      <c r="A187" t="s">
        <v>33</v>
      </c>
      <c r="B187" t="s">
        <v>69</v>
      </c>
      <c r="C187" s="10">
        <v>42331</v>
      </c>
      <c r="D187" t="s">
        <v>36</v>
      </c>
      <c r="E187" t="s">
        <v>34</v>
      </c>
      <c r="F187">
        <v>3500</v>
      </c>
      <c r="G187">
        <v>9.15</v>
      </c>
      <c r="H187">
        <v>9.6999999999999993</v>
      </c>
      <c r="I187">
        <v>8.6</v>
      </c>
      <c r="J187">
        <v>8.6</v>
      </c>
      <c r="K187">
        <v>9.6999999999999993</v>
      </c>
      <c r="L187">
        <v>9.15</v>
      </c>
    </row>
    <row r="188" spans="1:12" x14ac:dyDescent="0.25">
      <c r="A188" t="s">
        <v>29</v>
      </c>
      <c r="B188" t="s">
        <v>70</v>
      </c>
      <c r="C188" s="10">
        <v>42331</v>
      </c>
      <c r="D188" t="s">
        <v>35</v>
      </c>
      <c r="E188" t="s">
        <v>49</v>
      </c>
      <c r="F188">
        <v>3800</v>
      </c>
      <c r="G188">
        <v>17.2</v>
      </c>
      <c r="H188">
        <v>29.3</v>
      </c>
      <c r="I188">
        <v>5.7</v>
      </c>
      <c r="J188">
        <v>8.68</v>
      </c>
      <c r="K188">
        <v>25.72</v>
      </c>
      <c r="L188">
        <v>17.2</v>
      </c>
    </row>
    <row r="189" spans="1:12" x14ac:dyDescent="0.25">
      <c r="A189" t="s">
        <v>30</v>
      </c>
      <c r="B189" t="s">
        <v>71</v>
      </c>
      <c r="C189" s="10">
        <v>42331</v>
      </c>
      <c r="D189" t="s">
        <v>47</v>
      </c>
      <c r="E189" t="s">
        <v>48</v>
      </c>
      <c r="F189">
        <v>5100</v>
      </c>
      <c r="G189">
        <v>19.75</v>
      </c>
      <c r="H189">
        <v>35.9</v>
      </c>
      <c r="I189">
        <v>5.8</v>
      </c>
      <c r="J189">
        <v>11.16</v>
      </c>
      <c r="K189">
        <v>28.35</v>
      </c>
      <c r="L189">
        <v>19.754999999999999</v>
      </c>
    </row>
    <row r="190" spans="1:12" x14ac:dyDescent="0.25">
      <c r="A190" t="s">
        <v>29</v>
      </c>
      <c r="B190" t="s">
        <v>72</v>
      </c>
      <c r="C190" s="10">
        <v>42331</v>
      </c>
      <c r="D190" t="s">
        <v>43</v>
      </c>
      <c r="E190" t="s">
        <v>44</v>
      </c>
      <c r="F190">
        <v>3500</v>
      </c>
      <c r="G190">
        <v>5.7</v>
      </c>
      <c r="H190">
        <v>5.7</v>
      </c>
      <c r="I190">
        <v>5.7</v>
      </c>
      <c r="J190">
        <v>5.7</v>
      </c>
      <c r="K190">
        <v>5.7</v>
      </c>
      <c r="L190">
        <v>5.7</v>
      </c>
    </row>
    <row r="191" spans="1:12" x14ac:dyDescent="0.25">
      <c r="A191" t="s">
        <v>33</v>
      </c>
      <c r="B191" t="s">
        <v>73</v>
      </c>
      <c r="C191" s="10">
        <v>42331</v>
      </c>
      <c r="D191" t="s">
        <v>35</v>
      </c>
      <c r="E191" t="s">
        <v>49</v>
      </c>
      <c r="F191">
        <v>3500</v>
      </c>
      <c r="G191">
        <v>5.23</v>
      </c>
      <c r="H191">
        <v>13.3</v>
      </c>
      <c r="I191">
        <v>1.2</v>
      </c>
      <c r="J191">
        <v>-0.47</v>
      </c>
      <c r="K191">
        <v>10.94</v>
      </c>
      <c r="L191">
        <v>5.2350000000000003</v>
      </c>
    </row>
    <row r="192" spans="1:12" x14ac:dyDescent="0.25">
      <c r="A192" t="s">
        <v>32</v>
      </c>
      <c r="B192" t="s">
        <v>74</v>
      </c>
      <c r="C192" s="10">
        <v>42331</v>
      </c>
      <c r="D192" t="s">
        <v>41</v>
      </c>
      <c r="E192" t="s">
        <v>42</v>
      </c>
      <c r="F192">
        <v>7500</v>
      </c>
      <c r="G192">
        <v>29.06</v>
      </c>
      <c r="H192">
        <v>54.6</v>
      </c>
      <c r="I192">
        <v>6.9</v>
      </c>
      <c r="J192">
        <v>16.55</v>
      </c>
      <c r="K192">
        <v>41.58</v>
      </c>
      <c r="L192">
        <v>29.065000000000001</v>
      </c>
    </row>
    <row r="193" spans="1:12" x14ac:dyDescent="0.25">
      <c r="A193" t="s">
        <v>30</v>
      </c>
      <c r="B193" t="s">
        <v>75</v>
      </c>
      <c r="C193" s="10">
        <v>42331</v>
      </c>
      <c r="D193" t="s">
        <v>34</v>
      </c>
      <c r="E193" t="s">
        <v>36</v>
      </c>
      <c r="F193">
        <v>4000</v>
      </c>
      <c r="G193">
        <v>15.94</v>
      </c>
      <c r="H193">
        <v>35.299999999999997</v>
      </c>
      <c r="I193">
        <v>4.4000000000000004</v>
      </c>
      <c r="J193">
        <v>7.13</v>
      </c>
      <c r="K193">
        <v>24.75</v>
      </c>
      <c r="L193">
        <v>15.94</v>
      </c>
    </row>
    <row r="194" spans="1:12" x14ac:dyDescent="0.25">
      <c r="A194" t="s">
        <v>32</v>
      </c>
      <c r="B194" t="s">
        <v>76</v>
      </c>
      <c r="C194" s="10">
        <v>42331</v>
      </c>
      <c r="D194" t="s">
        <v>43</v>
      </c>
      <c r="E194" t="s">
        <v>44</v>
      </c>
      <c r="F194">
        <v>5700</v>
      </c>
      <c r="G194">
        <v>22.49</v>
      </c>
      <c r="H194">
        <v>39.200000000000003</v>
      </c>
      <c r="I194">
        <v>6.9</v>
      </c>
      <c r="J194">
        <v>13.47</v>
      </c>
      <c r="K194">
        <v>31.51</v>
      </c>
      <c r="L194">
        <v>22.49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1"/>
  <sheetViews>
    <sheetView workbookViewId="0">
      <selection activeCell="C23" sqref="C23:C31"/>
    </sheetView>
  </sheetViews>
  <sheetFormatPr defaultRowHeight="15" x14ac:dyDescent="0.25"/>
  <sheetData>
    <row r="1" spans="1:17" x14ac:dyDescent="0.25">
      <c r="A1">
        <v>20</v>
      </c>
      <c r="B1">
        <v>2</v>
      </c>
      <c r="C1" t="s">
        <v>7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>
        <v>271.8</v>
      </c>
      <c r="N1">
        <v>41.683333333299998</v>
      </c>
      <c r="O1">
        <v>60000</v>
      </c>
      <c r="P1">
        <v>4.6314814814777998</v>
      </c>
      <c r="Q1">
        <v>-271.8</v>
      </c>
    </row>
    <row r="3" spans="1:17" x14ac:dyDescent="0.25">
      <c r="A3">
        <v>20</v>
      </c>
    </row>
    <row r="4" spans="1:17" x14ac:dyDescent="0.25">
      <c r="A4">
        <v>2</v>
      </c>
    </row>
    <row r="5" spans="1:17" x14ac:dyDescent="0.25">
      <c r="A5" t="s">
        <v>7</v>
      </c>
    </row>
    <row r="6" spans="1:17" x14ac:dyDescent="0.25">
      <c r="A6" t="s">
        <v>8</v>
      </c>
    </row>
    <row r="7" spans="1:17" x14ac:dyDescent="0.25">
      <c r="A7" t="s">
        <v>9</v>
      </c>
    </row>
    <row r="8" spans="1:17" x14ac:dyDescent="0.25">
      <c r="A8" t="s">
        <v>10</v>
      </c>
    </row>
    <row r="9" spans="1:17" x14ac:dyDescent="0.25">
      <c r="A9" t="s">
        <v>11</v>
      </c>
    </row>
    <row r="10" spans="1:17" x14ac:dyDescent="0.25">
      <c r="A10" t="s">
        <v>12</v>
      </c>
    </row>
    <row r="11" spans="1:17" x14ac:dyDescent="0.25">
      <c r="A11" t="s">
        <v>13</v>
      </c>
    </row>
    <row r="12" spans="1:17" x14ac:dyDescent="0.25">
      <c r="A12" t="s">
        <v>14</v>
      </c>
    </row>
    <row r="13" spans="1:17" x14ac:dyDescent="0.25">
      <c r="A13" t="s">
        <v>15</v>
      </c>
    </row>
    <row r="14" spans="1:17" x14ac:dyDescent="0.25">
      <c r="A14" t="s">
        <v>16</v>
      </c>
    </row>
    <row r="15" spans="1:17" x14ac:dyDescent="0.25">
      <c r="A15">
        <v>271.8</v>
      </c>
    </row>
    <row r="16" spans="1:17" x14ac:dyDescent="0.25">
      <c r="A16">
        <v>41.683333333299998</v>
      </c>
    </row>
    <row r="17" spans="1:3" x14ac:dyDescent="0.25">
      <c r="A17">
        <v>60000</v>
      </c>
    </row>
    <row r="23" spans="1:3" x14ac:dyDescent="0.25">
      <c r="A23" t="s">
        <v>79</v>
      </c>
      <c r="B23" t="s">
        <v>80</v>
      </c>
      <c r="C23" t="str">
        <f>(A23&amp;" "&amp;B23)</f>
        <v>Jimmy Butler</v>
      </c>
    </row>
    <row r="24" spans="1:3" x14ac:dyDescent="0.25">
      <c r="A24" t="s">
        <v>81</v>
      </c>
      <c r="B24" t="s">
        <v>82</v>
      </c>
      <c r="C24" t="str">
        <f t="shared" ref="C24:C31" si="0">(A24&amp;" "&amp;B24)</f>
        <v>Blake Griffin</v>
      </c>
    </row>
    <row r="25" spans="1:3" x14ac:dyDescent="0.25">
      <c r="A25" t="s">
        <v>83</v>
      </c>
      <c r="B25" t="s">
        <v>84</v>
      </c>
      <c r="C25" t="str">
        <f t="shared" si="0"/>
        <v>Marc Gasol</v>
      </c>
    </row>
    <row r="26" spans="1:3" x14ac:dyDescent="0.25">
      <c r="A26" t="s">
        <v>85</v>
      </c>
      <c r="B26" t="s">
        <v>86</v>
      </c>
      <c r="C26" t="str">
        <f t="shared" si="0"/>
        <v>Monta Ellis</v>
      </c>
    </row>
    <row r="27" spans="1:3" x14ac:dyDescent="0.25">
      <c r="A27" t="s">
        <v>87</v>
      </c>
      <c r="B27" t="s">
        <v>88</v>
      </c>
      <c r="C27" t="str">
        <f t="shared" si="0"/>
        <v>George Hill</v>
      </c>
    </row>
    <row r="28" spans="1:3" x14ac:dyDescent="0.25">
      <c r="A28" t="s">
        <v>89</v>
      </c>
      <c r="B28" t="s">
        <v>90</v>
      </c>
      <c r="C28" t="str">
        <f t="shared" si="0"/>
        <v>Otto Porter</v>
      </c>
    </row>
    <row r="29" spans="1:3" x14ac:dyDescent="0.25">
      <c r="A29" t="s">
        <v>91</v>
      </c>
      <c r="B29" t="s">
        <v>92</v>
      </c>
      <c r="C29" t="str">
        <f t="shared" si="0"/>
        <v>Al-Farouq Aminu</v>
      </c>
    </row>
    <row r="30" spans="1:3" x14ac:dyDescent="0.25">
      <c r="A30" t="s">
        <v>93</v>
      </c>
      <c r="B30" t="s">
        <v>94</v>
      </c>
      <c r="C30" t="str">
        <f t="shared" si="0"/>
        <v>Jordan Clarkson</v>
      </c>
    </row>
    <row r="31" spans="1:3" x14ac:dyDescent="0.25">
      <c r="A31" t="s">
        <v>95</v>
      </c>
      <c r="B31" t="s">
        <v>96</v>
      </c>
      <c r="C31" t="str">
        <f t="shared" si="0"/>
        <v>Darrell Arthur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Sheet1</vt:lpstr>
      <vt:lpstr>DailyPlayers</vt:lpstr>
      <vt:lpstr>Sheet2</vt:lpstr>
      <vt:lpstr>DailyPlayers!ExternalData_1</vt:lpstr>
      <vt:lpstr>DailyPlayers!ExternalData_2</vt:lpstr>
      <vt:lpstr>DailyPlayers!ExternalData_3</vt:lpstr>
      <vt:lpstr>DailyPlayers!ExternalData_4</vt:lpstr>
      <vt:lpstr>DailyPlayers!ExternalData_5</vt:lpstr>
      <vt:lpstr>DailyPlayers!ExternalData_6</vt:lpstr>
      <vt:lpstr>DailyPlayers!ExternalData_7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2015-11-24T22:01:40Z</dcterms:modified>
</cp:coreProperties>
</file>